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2281126\Documents\GitHub\projet-de-session-5gd-a25-gr-e\"/>
    </mc:Choice>
  </mc:AlternateContent>
  <xr:revisionPtr revIDLastSave="0" documentId="13_ncr:1_{D92CEB1E-6FF3-49DE-BDE3-E1A877C67664}" xr6:coauthVersionLast="47" xr6:coauthVersionMax="47" xr10:uidLastSave="{00000000-0000-0000-0000-000000000000}"/>
  <bookViews>
    <workbookView xWindow="-120" yWindow="-120" windowWidth="29040" windowHeight="15720" activeTab="2" xr2:uid="{6BF6013A-4C68-4CEF-BF49-8F7071437FDB}"/>
  </bookViews>
  <sheets>
    <sheet name="Sprint1" sheetId="1" r:id="rId1"/>
    <sheet name="Sprint2" sheetId="2" r:id="rId2"/>
    <sheet name="Sprint3" sheetId="5" r:id="rId3"/>
    <sheet name="Sprin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L15" i="5"/>
  <c r="L9" i="5"/>
  <c r="L8" i="5"/>
  <c r="L5" i="5"/>
  <c r="L12" i="5" s="1"/>
  <c r="L4" i="5"/>
  <c r="L11" i="5" s="1"/>
  <c r="L3" i="5"/>
  <c r="L2" i="5"/>
  <c r="L16" i="4"/>
  <c r="M16" i="4" s="1"/>
  <c r="L15" i="4"/>
  <c r="L9" i="4"/>
  <c r="L8" i="4"/>
  <c r="L5" i="4"/>
  <c r="L12" i="4" s="1"/>
  <c r="L4" i="4"/>
  <c r="L11" i="4" s="1"/>
  <c r="L3" i="4"/>
  <c r="L2" i="4"/>
  <c r="L2" i="1"/>
  <c r="M15" i="4" l="1"/>
  <c r="M15" i="5"/>
  <c r="M16" i="5"/>
  <c r="L16" i="2"/>
  <c r="L15" i="2"/>
  <c r="L9" i="2"/>
  <c r="L8" i="2"/>
  <c r="L5" i="2"/>
  <c r="L12" i="2" s="1"/>
  <c r="L4" i="2"/>
  <c r="L11" i="2" s="1"/>
  <c r="L3" i="2"/>
  <c r="L2" i="2"/>
  <c r="L16" i="1"/>
  <c r="L15" i="1"/>
  <c r="L9" i="1"/>
  <c r="L8" i="1"/>
  <c r="L5" i="1"/>
  <c r="L12" i="1" s="1"/>
  <c r="L3" i="1"/>
  <c r="L4" i="1"/>
  <c r="L11" i="1" s="1"/>
  <c r="M15" i="2" l="1"/>
  <c r="M16" i="2"/>
  <c r="M15" i="1"/>
  <c r="M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1436BC68-6862-4DA3-AE73-44AC3E642BA5}">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55FB5F07-C4FD-43A5-B9B8-014378EB64E4}">
      <text>
        <r>
          <rPr>
            <sz val="9"/>
            <color indexed="81"/>
            <rFont val="Tahoma"/>
            <charset val="1"/>
          </rPr>
          <t>Indiquer X (majuscule) si l'item est conforme à la Définition de Terminé</t>
        </r>
      </text>
    </comment>
    <comment ref="H3" authorId="0" shapeId="0" xr:uid="{1F37F235-0DAD-4706-AAD6-EB528448AC98}">
      <text>
        <r>
          <rPr>
            <sz val="9"/>
            <color indexed="81"/>
            <rFont val="Tahoma"/>
            <charset val="1"/>
          </rPr>
          <t>Le nombre de jours entre le début et la fin du travail sur cet item (minimum 1)</t>
        </r>
      </text>
    </comment>
    <comment ref="I3" authorId="0" shapeId="0" xr:uid="{3D1EC365-15D5-4AD8-AE26-96600E8AB048}">
      <text>
        <r>
          <rPr>
            <sz val="9"/>
            <color indexed="81"/>
            <rFont val="Tahoma"/>
            <charset val="1"/>
          </rPr>
          <t>Nombre de jours depuis le début du travail sur cet item (minimum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8933BABB-7FD9-4613-B561-EB44999E4236}">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F1359BC1-25E1-4C40-96CC-E179D96F1494}">
      <text>
        <r>
          <rPr>
            <sz val="9"/>
            <color indexed="81"/>
            <rFont val="Tahoma"/>
            <charset val="1"/>
          </rPr>
          <t>Indiquer X (majuscule) si l'item est conforme à la Définition de Terminé</t>
        </r>
      </text>
    </comment>
    <comment ref="H3" authorId="0" shapeId="0" xr:uid="{2A3F4C6D-7D37-46DB-A6F9-4E2434F38367}">
      <text>
        <r>
          <rPr>
            <sz val="9"/>
            <color indexed="81"/>
            <rFont val="Tahoma"/>
            <charset val="1"/>
          </rPr>
          <t>Le nombre de jours entre le début et la fin du travail sur cet item (minimum 1)</t>
        </r>
      </text>
    </comment>
    <comment ref="I3" authorId="0" shapeId="0" xr:uid="{EBA69CED-958B-4718-B0E9-D475A1E55CED}">
      <text>
        <r>
          <rPr>
            <sz val="9"/>
            <color indexed="81"/>
            <rFont val="Tahoma"/>
            <charset val="1"/>
          </rPr>
          <t>Nombre de jours depuis le début du travail sur cet item (minimum 1)</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F0DEE5E6-67AF-4CE2-93AD-376C14602363}">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AE593FCB-4F3B-4D8C-AB68-29DABD331C7A}">
      <text>
        <r>
          <rPr>
            <sz val="9"/>
            <color indexed="81"/>
            <rFont val="Tahoma"/>
            <charset val="1"/>
          </rPr>
          <t>Indiquer X (majuscule) si l'item est conforme à la Définition de Terminé</t>
        </r>
      </text>
    </comment>
    <comment ref="H3" authorId="0" shapeId="0" xr:uid="{A4DF0D47-81CD-41AE-B685-1AD259463EC0}">
      <text>
        <r>
          <rPr>
            <sz val="9"/>
            <color indexed="81"/>
            <rFont val="Tahoma"/>
            <charset val="1"/>
          </rPr>
          <t>Le nombre de jours entre le début et la fin du travail sur cet item (minimum 1)</t>
        </r>
      </text>
    </comment>
    <comment ref="I3" authorId="0" shapeId="0" xr:uid="{51A4B4D1-AADE-4F31-85BE-5D25811D1FCD}">
      <text>
        <r>
          <rPr>
            <sz val="9"/>
            <color indexed="81"/>
            <rFont val="Tahoma"/>
            <charset val="1"/>
          </rPr>
          <t>Nombre de jours depuis le début du travail sur cet item (minimum 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Stéphane Lévesque</author>
  </authors>
  <commentList>
    <comment ref="B3" authorId="0" shapeId="0" xr:uid="{2D2E4ED3-38E9-4079-8854-EB420CC832F1}">
      <text>
        <r>
          <rPr>
            <sz val="9"/>
            <color indexed="81"/>
            <rFont val="Tahoma"/>
            <charset val="1"/>
          </rPr>
          <t>Utiliser:
Saga pour un ensemble de récits
Récit pour une fonction du point de vue de son usager
Tâche pour l'implantation d'une partie d'un récit, une correction de bug ou tout autre travail technique de nature non-fonctionnelle.
Respecter l'orthographe exact (majuscules et accents)</t>
        </r>
      </text>
    </comment>
    <comment ref="G3" authorId="0" shapeId="0" xr:uid="{B713B9E9-E707-4DE1-AC68-01F7B1C0515A}">
      <text>
        <r>
          <rPr>
            <sz val="9"/>
            <color indexed="81"/>
            <rFont val="Tahoma"/>
            <charset val="1"/>
          </rPr>
          <t>Indiquer X (majuscule) si l'item est conforme à la Définition de Terminé</t>
        </r>
      </text>
    </comment>
    <comment ref="H3" authorId="0" shapeId="0" xr:uid="{F5D980EA-2B07-4BB8-92B6-EF444F3FFE95}">
      <text>
        <r>
          <rPr>
            <sz val="9"/>
            <color indexed="81"/>
            <rFont val="Tahoma"/>
            <charset val="1"/>
          </rPr>
          <t>Le nombre de jours entre le début et la fin du travail sur cet item (minimum 1)</t>
        </r>
      </text>
    </comment>
    <comment ref="I3" authorId="0" shapeId="0" xr:uid="{5AAC720F-4F57-4AF8-B8E8-633026B74B70}">
      <text>
        <r>
          <rPr>
            <sz val="9"/>
            <color indexed="81"/>
            <rFont val="Tahoma"/>
            <charset val="1"/>
          </rPr>
          <t>Nombre de jours depuis le début du travail sur cet item (minimum 1)</t>
        </r>
      </text>
    </comment>
  </commentList>
</comments>
</file>

<file path=xl/sharedStrings.xml><?xml version="1.0" encoding="utf-8"?>
<sst xmlns="http://schemas.openxmlformats.org/spreadsheetml/2006/main" count="342" uniqueCount="95">
  <si>
    <t>Item planifié</t>
  </si>
  <si>
    <t>Terminé</t>
  </si>
  <si>
    <t>Objectif de sprint:</t>
  </si>
  <si>
    <t>Métriques de sprint</t>
  </si>
  <si>
    <t>Période de cours</t>
  </si>
  <si>
    <t>Temps de cycle</t>
  </si>
  <si>
    <t>Âge</t>
  </si>
  <si>
    <t>S'authentifier avec son compte usager</t>
  </si>
  <si>
    <t>Récit</t>
  </si>
  <si>
    <t>Tâche</t>
  </si>
  <si>
    <t>Temps de cycle moyen (récits)</t>
  </si>
  <si>
    <t>Temps de cycle moyen (tâches)</t>
  </si>
  <si>
    <t>Récits terminés</t>
  </si>
  <si>
    <t>Nombre de récits planifiés</t>
  </si>
  <si>
    <t>Nombre de tâches planifiées</t>
  </si>
  <si>
    <t>Tâches terminées</t>
  </si>
  <si>
    <t>Débit récits (sur 14 jours)</t>
  </si>
  <si>
    <t>Débit tâches (sur 14 jours)</t>
  </si>
  <si>
    <t>Indice de contribution</t>
  </si>
  <si>
    <t>Type (Saga/Récit/Tâche)</t>
  </si>
  <si>
    <t>Livraison</t>
  </si>
  <si>
    <t>Suivi de projet</t>
  </si>
  <si>
    <t>Faits saillants du daily Scrum</t>
  </si>
  <si>
    <t>Absent</t>
  </si>
  <si>
    <t>Revue</t>
  </si>
  <si>
    <t>Priorités pour le prochain sprint</t>
  </si>
  <si>
    <t>Changements aux objectifs / besoins</t>
  </si>
  <si>
    <t>Rétrospective</t>
  </si>
  <si>
    <t>Points forts</t>
  </si>
  <si>
    <t>Points à améliorer</t>
  </si>
  <si>
    <t>Mesure d'amélioration pour le prochain sprint</t>
  </si>
  <si>
    <t>Bilan de la mesure d'amélioration du sprint courant</t>
  </si>
  <si>
    <t>Boris</t>
  </si>
  <si>
    <t>Emile</t>
  </si>
  <si>
    <t>-</t>
  </si>
  <si>
    <t xml:space="preserve"> Animation du vendeur de poisson</t>
  </si>
  <si>
    <t xml:space="preserve"> Animation du vendeur d'armes</t>
  </si>
  <si>
    <t>Saga</t>
  </si>
  <si>
    <t xml:space="preserve">Mise en place </t>
  </si>
  <si>
    <t>Avoir un projet Unity fonctionnel afin de commencer le développement</t>
  </si>
  <si>
    <t>Base visuelle et environnement</t>
  </si>
  <si>
    <t>X</t>
  </si>
  <si>
    <t>Avoir un marché médiéval de base</t>
  </si>
  <si>
    <t>Prototype UI</t>
  </si>
  <si>
    <t>Hiérarchie d'interface de base</t>
  </si>
  <si>
    <t>Prototype PNJ</t>
  </si>
  <si>
    <t>Avoir une NavMesh et des agents fonctionels</t>
  </si>
  <si>
    <t xml:space="preserve">  Importation de la scène Low-Poly Medieval Market de base</t>
  </si>
  <si>
    <t xml:space="preserve">  Ajout de colliders de base sur la map</t>
  </si>
  <si>
    <t xml:space="preserve">  Ajout d’un gitignore adapté Unity</t>
  </si>
  <si>
    <t xml:space="preserve">  Organisation initiale du dépôt et des dossiers</t>
  </si>
  <si>
    <t xml:space="preserve">  Création d’un Canvas </t>
  </si>
  <si>
    <t xml:space="preserve">  TextMeshPro basique pour le compteur de pièces</t>
  </si>
  <si>
    <t xml:space="preserve">  Importation TextMeshPro</t>
  </si>
  <si>
    <t xml:space="preserve">  Création du repo GitHub + projet Unity </t>
  </si>
  <si>
    <t>x</t>
  </si>
  <si>
    <t xml:space="preserve">  Ajout des NavMeshObstacles et Bake</t>
  </si>
  <si>
    <t xml:space="preserve">  Ajout d'un agent pour test</t>
  </si>
  <si>
    <t xml:space="preserve">  Creation d'un script "Wandering" pour le mouvement aléatoire</t>
  </si>
  <si>
    <t>Stabilisation et organisation du projet</t>
  </si>
  <si>
    <t>Dépôt bien organisé et fonctionnel afin d’éviter les conflits</t>
  </si>
  <si>
    <t xml:space="preserve">  Réorganisation dossiers</t>
  </si>
  <si>
    <t xml:space="preserve">  Séparation des assets / scènes </t>
  </si>
  <si>
    <t xml:space="preserve">  Correction du .gitignore pour éviter push de gros fichiers </t>
  </si>
  <si>
    <t xml:space="preserve">  Migration Unity (2022 → 6000) et compatibilité </t>
  </si>
  <si>
    <t>Decoration visuelle du magasin du joueur</t>
  </si>
  <si>
    <t>Decoration du magasin pour mieux comprendre le role du vendeur</t>
  </si>
  <si>
    <t xml:space="preserve">  Placement d’objets (livres, fioles, baguettes, boule de cristal)</t>
  </si>
  <si>
    <t>Animation des magasins</t>
  </si>
  <si>
    <t>Avoir des animations pour rendre le marche plus vivant</t>
  </si>
  <si>
    <t xml:space="preserve">  Animations du PNJ "Mushroom Man"</t>
  </si>
  <si>
    <t>Émile</t>
  </si>
  <si>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 e</t>
    </r>
    <r>
      <rPr>
        <sz val="11"/>
        <color rgb="FF3F3F76"/>
        <rFont val="Aptos Narrow"/>
        <family val="2"/>
        <scheme val="minor"/>
      </rPr>
      <t xml:space="preserve">t pull Git            </t>
    </r>
    <r>
      <rPr>
        <b/>
        <sz val="11"/>
        <color rgb="FF3F3F76"/>
        <rFont val="Aptos Narrow"/>
        <family val="2"/>
        <scheme val="minor"/>
      </rPr>
      <t>Obstacles rencontrés:Erreurs de build des packages Unity</t>
    </r>
    <r>
      <rPr>
        <sz val="11"/>
        <color rgb="FF3F3F76"/>
        <rFont val="Aptos Narrow"/>
        <family val="2"/>
        <scheme val="minor"/>
      </rPr>
      <t xml:space="preserve"> </t>
    </r>
  </si>
  <si>
    <r>
      <rPr>
        <b/>
        <sz val="11"/>
        <color rgb="FF3F3F76"/>
        <rFont val="Aptos Narrow"/>
        <family val="2"/>
        <scheme val="minor"/>
      </rPr>
      <t>Progrès accomplis:</t>
    </r>
    <r>
      <rPr>
        <sz val="11"/>
        <color rgb="FF3F3F76"/>
        <rFont val="Aptos Narrow"/>
        <family val="2"/>
        <scheme val="minor"/>
      </rPr>
      <t xml:space="preserve"> Travail Sprint.                   </t>
    </r>
    <r>
      <rPr>
        <b/>
        <sz val="11"/>
        <color rgb="FF3F3F76"/>
        <rFont val="Aptos Narrow"/>
        <family val="2"/>
        <scheme val="minor"/>
      </rPr>
      <t>Objectifs pour la journée : Finir Sprint1 et Sprint2 equipe</t>
    </r>
    <r>
      <rPr>
        <sz val="11"/>
        <color rgb="FF3F3F76"/>
        <rFont val="Aptos Narrow"/>
        <family val="2"/>
        <scheme val="minor"/>
      </rPr>
      <t xml:space="preserve">.            </t>
    </r>
    <r>
      <rPr>
        <b/>
        <sz val="11"/>
        <color rgb="FF3F3F76"/>
        <rFont val="Aptos Narrow"/>
        <family val="2"/>
        <scheme val="minor"/>
      </rPr>
      <t>Obstacles rencontrés:</t>
    </r>
    <r>
      <rPr>
        <sz val="11"/>
        <color rgb="FF3F3F76"/>
        <rFont val="Aptos Narrow"/>
        <family val="2"/>
        <scheme val="minor"/>
      </rPr>
      <t xml:space="preserve">Memorisation de l'ordre des tâches.                                           </t>
    </r>
  </si>
  <si>
    <t>Musique</t>
  </si>
  <si>
    <t>Avoir une musique ambiante dans le marché</t>
  </si>
  <si>
    <t>Importer musique de marché</t>
  </si>
  <si>
    <t>Script music manager</t>
  </si>
  <si>
    <t>Decoration de la boulangerie</t>
  </si>
  <si>
    <t xml:space="preserve">  Placement d’objets </t>
  </si>
  <si>
    <t>Importation Asses visuel de UI</t>
  </si>
  <si>
    <t>Implémentation Asset visuel de nombre de pièces</t>
  </si>
  <si>
    <t>UI</t>
  </si>
  <si>
    <t>Avoir un style de compteur de pièces plus ambiant</t>
  </si>
  <si>
    <t>ABSCENT (pew pew)</t>
  </si>
  <si>
    <r>
      <rPr>
        <b/>
        <sz val="11"/>
        <color rgb="FF3F3F76"/>
        <rFont val="Aptos Narrow"/>
        <family val="2"/>
        <scheme val="minor"/>
      </rPr>
      <t xml:space="preserve">Progrès accomplis:  </t>
    </r>
    <r>
      <rPr>
        <sz val="11"/>
        <color rgb="FF3F3F76"/>
        <rFont val="Aptos Narrow"/>
        <family val="2"/>
        <scheme val="minor"/>
      </rPr>
      <t xml:space="preserve">Soumettre un request au prof pour l'installation de Unity 2022.3.17f1 </t>
    </r>
    <r>
      <rPr>
        <b/>
        <sz val="11"/>
        <color rgb="FF3F3F76"/>
        <rFont val="Aptos Narrow"/>
        <family val="2"/>
        <scheme val="minor"/>
      </rPr>
      <t xml:space="preserve">                       Objectifs pour la journée : </t>
    </r>
    <r>
      <rPr>
        <sz val="11"/>
        <color rgb="FF3F3F76"/>
        <rFont val="Aptos Narrow"/>
        <family val="2"/>
        <scheme val="minor"/>
      </rPr>
      <t xml:space="preserve">Créer projet Unity 3D                           </t>
    </r>
    <r>
      <rPr>
        <b/>
        <sz val="11"/>
        <color rgb="FF3F3F76"/>
        <rFont val="Aptos Narrow"/>
        <family val="2"/>
        <scheme val="minor"/>
      </rPr>
      <t>Obstacles rencontrés: I</t>
    </r>
    <r>
      <rPr>
        <sz val="11"/>
        <color rgb="FF3F3F76"/>
        <rFont val="Aptos Narrow"/>
        <family val="2"/>
        <scheme val="minor"/>
      </rPr>
      <t xml:space="preserve">l manque le install 2022.3.17f1                                         </t>
    </r>
    <r>
      <rPr>
        <b/>
        <sz val="11"/>
        <color rgb="FF3F3F76"/>
        <rFont val="Aptos Narrow"/>
        <family val="2"/>
        <scheme val="minor"/>
      </rPr>
      <t>Actions Suivantes:</t>
    </r>
    <r>
      <rPr>
        <sz val="11"/>
        <color rgb="FF3F3F76"/>
        <rFont val="Aptos Narrow"/>
        <family val="2"/>
        <scheme val="minor"/>
      </rPr>
      <t xml:space="preserve"> aide de l'enseignant.</t>
    </r>
  </si>
  <si>
    <r>
      <rPr>
        <b/>
        <sz val="11"/>
        <color rgb="FF3F3F76"/>
        <rFont val="Aptos Narrow"/>
        <family val="2"/>
        <scheme val="minor"/>
      </rPr>
      <t xml:space="preserve">Progrès accomplis:  </t>
    </r>
    <r>
      <rPr>
        <sz val="11"/>
        <color rgb="FF3F3F76"/>
        <rFont val="Aptos Narrow"/>
        <family val="2"/>
        <scheme val="minor"/>
      </rPr>
      <t xml:space="preserve">Création du répo git et du projet Unity     </t>
    </r>
    <r>
      <rPr>
        <b/>
        <sz val="11"/>
        <color rgb="FF3F3F76"/>
        <rFont val="Aptos Narrow"/>
        <family val="2"/>
        <scheme val="minor"/>
      </rPr>
      <t xml:space="preserve"> Objectifs pour la journée : </t>
    </r>
    <r>
      <rPr>
        <sz val="11"/>
        <color rgb="FF3F3F76"/>
        <rFont val="Aptos Narrow"/>
        <family val="2"/>
        <scheme val="minor"/>
      </rPr>
      <t xml:space="preserve">Créer projet Unity 3D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map</t>
    </r>
  </si>
  <si>
    <r>
      <rPr>
        <b/>
        <sz val="11"/>
        <color rgb="FF3F3F76"/>
        <rFont val="Aptos Narrow"/>
        <family val="2"/>
        <scheme val="minor"/>
      </rPr>
      <t xml:space="preserve">Progrès accomplis:  </t>
    </r>
    <r>
      <rPr>
        <sz val="11"/>
        <color rgb="FF3F3F76"/>
        <rFont val="Aptos Narrow"/>
        <family val="2"/>
        <scheme val="minor"/>
      </rPr>
      <t xml:space="preserve">Soumettre un request au prof pour l'installation de Unity 2022.3.17f1 </t>
    </r>
    <r>
      <rPr>
        <b/>
        <sz val="11"/>
        <color rgb="FF3F3F76"/>
        <rFont val="Aptos Narrow"/>
        <family val="2"/>
        <scheme val="minor"/>
      </rPr>
      <t xml:space="preserve">                          Objectifs pour la journée : </t>
    </r>
    <r>
      <rPr>
        <sz val="11"/>
        <color rgb="FF3F3F76"/>
        <rFont val="Aptos Narrow"/>
        <family val="2"/>
        <scheme val="minor"/>
      </rPr>
      <t xml:space="preserve">Map                           </t>
    </r>
    <r>
      <rPr>
        <b/>
        <sz val="11"/>
        <color rgb="FF3F3F76"/>
        <rFont val="Aptos Narrow"/>
        <family val="2"/>
        <scheme val="minor"/>
      </rPr>
      <t>Obstacles rencontrés: I</t>
    </r>
    <r>
      <rPr>
        <sz val="11"/>
        <color rgb="FF3F3F76"/>
        <rFont val="Aptos Narrow"/>
        <family val="2"/>
        <scheme val="minor"/>
      </rPr>
      <t xml:space="preserve">l manque toujours le install 2022.3.17f1                                         </t>
    </r>
    <r>
      <rPr>
        <b/>
        <sz val="11"/>
        <color rgb="FF3F3F76"/>
        <rFont val="Aptos Narrow"/>
        <family val="2"/>
        <scheme val="minor"/>
      </rPr>
      <t>Actions Suivantes:</t>
    </r>
    <r>
      <rPr>
        <sz val="11"/>
        <color rgb="FF3F3F76"/>
        <rFont val="Aptos Narrow"/>
        <family val="2"/>
        <scheme val="minor"/>
      </rPr>
      <t xml:space="preserve"> attendre que le technicien installe Unity</t>
    </r>
  </si>
  <si>
    <r>
      <rPr>
        <b/>
        <sz val="11"/>
        <color rgb="FF3F3F76"/>
        <rFont val="Aptos Narrow"/>
        <family val="2"/>
        <scheme val="minor"/>
      </rPr>
      <t xml:space="preserve">Progrès accomplis:  </t>
    </r>
    <r>
      <rPr>
        <sz val="11"/>
        <color rgb="FF3F3F76"/>
        <rFont val="Aptos Narrow"/>
        <family val="2"/>
        <scheme val="minor"/>
      </rPr>
      <t xml:space="preserve">Unity Baseline                 </t>
    </r>
    <r>
      <rPr>
        <b/>
        <sz val="11"/>
        <color rgb="FF3F3F76"/>
        <rFont val="Aptos Narrow"/>
        <family val="2"/>
        <scheme val="minor"/>
      </rPr>
      <t xml:space="preserve">                  Objectifs pour la journée : </t>
    </r>
    <r>
      <rPr>
        <sz val="11"/>
        <color rgb="FF3F3F76"/>
        <rFont val="Aptos Narrow"/>
        <family val="2"/>
        <scheme val="minor"/>
      </rPr>
      <t xml:space="preserve">Map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attendre que le technicien installe Unity</t>
    </r>
  </si>
  <si>
    <t>Absent (il manque toujours la bonne version de Unity)</t>
  </si>
  <si>
    <t>abscent</t>
  </si>
  <si>
    <r>
      <rPr>
        <b/>
        <sz val="11"/>
        <color rgb="FF3F3F76"/>
        <rFont val="Aptos Narrow"/>
        <family val="2"/>
        <scheme val="minor"/>
      </rPr>
      <t xml:space="preserve">Progrès accomplis:  </t>
    </r>
    <r>
      <rPr>
        <sz val="11"/>
        <color rgb="FF3F3F76"/>
        <rFont val="Aptos Narrow"/>
        <family val="2"/>
        <scheme val="minor"/>
      </rPr>
      <t>basic UI</t>
    </r>
    <r>
      <rPr>
        <b/>
        <sz val="11"/>
        <color rgb="FF3F3F76"/>
        <rFont val="Aptos Narrow"/>
        <family val="2"/>
        <scheme val="minor"/>
      </rPr>
      <t xml:space="preserve">           Objectifs pour la journée : </t>
    </r>
    <r>
      <rPr>
        <sz val="11"/>
        <color rgb="FF3F3F76"/>
        <rFont val="Aptos Narrow"/>
        <family val="2"/>
        <scheme val="minor"/>
      </rPr>
      <t xml:space="preserve">basic UI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attendre</t>
    </r>
  </si>
  <si>
    <r>
      <rPr>
        <b/>
        <sz val="11"/>
        <color rgb="FF3F3F76"/>
        <rFont val="Aptos Narrow"/>
        <family val="2"/>
        <scheme val="minor"/>
      </rPr>
      <t xml:space="preserve">Progrès accomplis:  </t>
    </r>
    <r>
      <rPr>
        <sz val="11"/>
        <color rgb="FF3F3F76"/>
        <rFont val="Aptos Narrow"/>
        <family val="2"/>
        <scheme val="minor"/>
      </rPr>
      <t xml:space="preserve">mouvements pnj                                                      </t>
    </r>
    <r>
      <rPr>
        <b/>
        <sz val="11"/>
        <color rgb="FF3F3F76"/>
        <rFont val="Aptos Narrow"/>
        <family val="2"/>
        <scheme val="minor"/>
      </rPr>
      <t xml:space="preserve">  Objectifs pour la journée : </t>
    </r>
    <r>
      <rPr>
        <sz val="11"/>
        <color rgb="FF3F3F76"/>
        <rFont val="Aptos Narrow"/>
        <family val="2"/>
        <scheme val="minor"/>
      </rPr>
      <t xml:space="preserve">basic mouvements                                  </t>
    </r>
    <r>
      <rPr>
        <b/>
        <sz val="11"/>
        <color rgb="FF3F3F76"/>
        <rFont val="Aptos Narrow"/>
        <family val="2"/>
        <scheme val="minor"/>
      </rPr>
      <t xml:space="preserve">Obstacles rencontrés: </t>
    </r>
    <r>
      <rPr>
        <sz val="11"/>
        <color rgb="FF3F3F76"/>
        <rFont val="Aptos Narrow"/>
        <family val="2"/>
        <scheme val="minor"/>
      </rPr>
      <t xml:space="preserve">                                                          </t>
    </r>
    <r>
      <rPr>
        <b/>
        <sz val="11"/>
        <color rgb="FF3F3F76"/>
        <rFont val="Aptos Narrow"/>
        <family val="2"/>
        <scheme val="minor"/>
      </rPr>
      <t>Actions Suivantes:</t>
    </r>
    <r>
      <rPr>
        <sz val="11"/>
        <color rgb="FF3F3F76"/>
        <rFont val="Aptos Narrow"/>
        <family val="2"/>
        <scheme val="minor"/>
      </rPr>
      <t xml:space="preserve"> attendre</t>
    </r>
  </si>
  <si>
    <t>Transformer projet 2022.3.17f1 en 6000</t>
  </si>
  <si>
    <r>
      <rPr>
        <b/>
        <sz val="11"/>
        <color rgb="FF3F3F76"/>
        <rFont val="Aptos Narrow"/>
        <family val="2"/>
        <scheme val="minor"/>
      </rPr>
      <t xml:space="preserve">Progrès accomplis:  </t>
    </r>
    <r>
      <rPr>
        <sz val="11"/>
        <color rgb="FF3F3F76"/>
        <rFont val="Aptos Narrow"/>
        <family val="2"/>
        <scheme val="minor"/>
      </rPr>
      <t>On essaye d'installer la version de Unity que le technicien nous a imposé</t>
    </r>
    <r>
      <rPr>
        <b/>
        <sz val="11"/>
        <color rgb="FF3F3F76"/>
        <rFont val="Aptos Narrow"/>
        <family val="2"/>
        <scheme val="minor"/>
      </rPr>
      <t xml:space="preserve">                  Objectifs pour la journée : </t>
    </r>
    <r>
      <rPr>
        <sz val="11"/>
        <color rgb="FF3F3F76"/>
        <rFont val="Aptos Narrow"/>
        <family val="2"/>
        <scheme val="minor"/>
      </rPr>
      <t xml:space="preserve">Map                           </t>
    </r>
    <r>
      <rPr>
        <b/>
        <sz val="11"/>
        <color rgb="FF3F3F76"/>
        <rFont val="Aptos Narrow"/>
        <family val="2"/>
        <scheme val="minor"/>
      </rPr>
      <t>Obstacles rencontrés: I</t>
    </r>
    <r>
      <rPr>
        <sz val="11"/>
        <color rgb="FF3F3F76"/>
        <rFont val="Aptos Narrow"/>
        <family val="2"/>
        <scheme val="minor"/>
      </rPr>
      <t xml:space="preserve">l manque toujours le install 2022.3.17f1                                         </t>
    </r>
    <r>
      <rPr>
        <b/>
        <sz val="11"/>
        <color rgb="FF3F3F76"/>
        <rFont val="Aptos Narrow"/>
        <family val="2"/>
        <scheme val="minor"/>
      </rPr>
      <t>Actions Suivantes:</t>
    </r>
    <r>
      <rPr>
        <sz val="11"/>
        <color rgb="FF3F3F76"/>
        <rFont val="Aptos Narrow"/>
        <family val="2"/>
        <scheme val="minor"/>
      </rPr>
      <t xml:space="preserve"> attendre que le technicien installe Unity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</si>
</sst>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b/>
      <sz val="11"/>
      <color rgb="FFFA7D00"/>
      <name val="Aptos Narrow"/>
      <family val="2"/>
      <scheme val="minor"/>
    </font>
    <font>
      <b/>
      <sz val="11"/>
      <color theme="1"/>
      <name val="Aptos Narrow"/>
      <family val="2"/>
      <scheme val="minor"/>
    </font>
    <font>
      <sz val="9"/>
      <color indexed="81"/>
      <name val="Tahoma"/>
      <charset val="1"/>
    </font>
    <font>
      <b/>
      <sz val="11"/>
      <color rgb="FF3F3F76"/>
      <name val="Aptos Narrow"/>
      <family val="2"/>
      <scheme val="minor"/>
    </font>
    <font>
      <sz val="12"/>
      <color theme="1"/>
      <name val="Aptos"/>
      <family val="2"/>
    </font>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7">
    <border>
      <left/>
      <right/>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5">
    <xf numFmtId="0" fontId="0" fillId="0" borderId="0"/>
    <xf numFmtId="0" fontId="1" fillId="0" borderId="1" applyNumberFormat="0" applyFill="0" applyAlignment="0" applyProtection="0"/>
    <xf numFmtId="0" fontId="2" fillId="0" borderId="2" applyNumberFormat="0" applyFill="0" applyAlignment="0" applyProtection="0"/>
    <xf numFmtId="0" fontId="3" fillId="2" borderId="3" applyNumberFormat="0" applyAlignment="0" applyProtection="0"/>
    <xf numFmtId="0" fontId="4" fillId="3" borderId="3" applyNumberFormat="0" applyAlignment="0" applyProtection="0"/>
  </cellStyleXfs>
  <cellXfs count="28">
    <xf numFmtId="0" fontId="0" fillId="0" borderId="0" xfId="0"/>
    <xf numFmtId="0" fontId="3" fillId="2" borderId="3" xfId="3"/>
    <xf numFmtId="0" fontId="0" fillId="0" borderId="0" xfId="0" applyAlignment="1">
      <alignment horizontal="center"/>
    </xf>
    <xf numFmtId="0" fontId="3" fillId="2" borderId="3" xfId="3" applyAlignment="1">
      <alignment horizontal="center"/>
    </xf>
    <xf numFmtId="9" fontId="3" fillId="2" borderId="3" xfId="3" applyNumberFormat="1" applyAlignment="1">
      <alignment horizontal="center"/>
    </xf>
    <xf numFmtId="0" fontId="3" fillId="2" borderId="3" xfId="3" applyAlignment="1">
      <alignment horizontal="left"/>
    </xf>
    <xf numFmtId="0" fontId="4" fillId="3" borderId="3" xfId="4"/>
    <xf numFmtId="9" fontId="4" fillId="3" borderId="3" xfId="4" applyNumberFormat="1"/>
    <xf numFmtId="0" fontId="1" fillId="0" borderId="1" xfId="1"/>
    <xf numFmtId="0" fontId="2" fillId="0" borderId="2" xfId="2"/>
    <xf numFmtId="0" fontId="0" fillId="0" borderId="0" xfId="0" applyAlignment="1">
      <alignment vertical="top"/>
    </xf>
    <xf numFmtId="0" fontId="8" fillId="0" borderId="0" xfId="0" applyFont="1"/>
    <xf numFmtId="0" fontId="9" fillId="0" borderId="0" xfId="0" applyFont="1"/>
    <xf numFmtId="0" fontId="3" fillId="2" borderId="3" xfId="3" applyAlignment="1">
      <alignment vertical="top"/>
    </xf>
    <xf numFmtId="0" fontId="3" fillId="2" borderId="3" xfId="3" applyAlignment="1">
      <alignment horizontal="center" vertical="top"/>
    </xf>
    <xf numFmtId="0" fontId="10" fillId="0" borderId="0" xfId="0" applyFont="1"/>
    <xf numFmtId="0" fontId="3" fillId="2" borderId="4" xfId="3" applyBorder="1" applyAlignment="1">
      <alignment vertical="top"/>
    </xf>
    <xf numFmtId="0" fontId="3" fillId="2" borderId="5" xfId="3" applyBorder="1" applyAlignment="1">
      <alignment vertical="top"/>
    </xf>
    <xf numFmtId="0" fontId="3" fillId="2" borderId="6" xfId="3" applyBorder="1" applyAlignment="1">
      <alignment vertical="top"/>
    </xf>
    <xf numFmtId="0" fontId="3" fillId="2" borderId="3" xfId="3" applyAlignment="1">
      <alignment horizontal="left" vertical="top" wrapText="1"/>
    </xf>
    <xf numFmtId="0" fontId="3" fillId="2" borderId="3" xfId="3" applyAlignment="1">
      <alignment horizontal="left" wrapText="1"/>
    </xf>
    <xf numFmtId="16" fontId="0" fillId="0" borderId="0" xfId="0" applyNumberFormat="1"/>
    <xf numFmtId="0" fontId="3" fillId="2" borderId="3" xfId="3" applyAlignment="1">
      <alignment vertical="top"/>
    </xf>
    <xf numFmtId="0" fontId="5" fillId="0" borderId="0" xfId="0" applyFont="1"/>
    <xf numFmtId="0" fontId="5" fillId="0" borderId="0" xfId="0" applyFont="1" applyAlignment="1">
      <alignment horizontal="center"/>
    </xf>
    <xf numFmtId="0" fontId="3" fillId="2" borderId="4" xfId="3" applyBorder="1" applyAlignment="1">
      <alignment horizontal="center" vertical="top"/>
    </xf>
    <xf numFmtId="0" fontId="3" fillId="2" borderId="5" xfId="3" applyBorder="1" applyAlignment="1">
      <alignment horizontal="center" vertical="top"/>
    </xf>
    <xf numFmtId="0" fontId="3" fillId="2" borderId="6" xfId="3" applyBorder="1" applyAlignment="1">
      <alignment horizontal="center" vertical="top"/>
    </xf>
  </cellXfs>
  <cellStyles count="5">
    <cellStyle name="Calcul" xfId="4" builtinId="22"/>
    <cellStyle name="Entrée" xfId="3" builtinId="20"/>
    <cellStyle name="Normal" xfId="0" builtinId="0"/>
    <cellStyle name="Titre 2" xfId="1" builtinId="17"/>
    <cellStyle name="Titre 3" xfId="2" builtinId="1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7C8C-BB64-4187-92AA-6B5ED698724D}">
  <dimension ref="A1:O39"/>
  <sheetViews>
    <sheetView topLeftCell="A6" zoomScale="85" zoomScaleNormal="85" workbookViewId="0">
      <selection activeCell="O24" sqref="O24"/>
    </sheetView>
  </sheetViews>
  <sheetFormatPr baseColWidth="10" defaultColWidth="8.85546875" defaultRowHeight="15" x14ac:dyDescent="0.25"/>
  <cols>
    <col min="1" max="1" width="67.5703125"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1.3333333333333333</v>
      </c>
    </row>
    <row r="3" spans="1:13" x14ac:dyDescent="0.25">
      <c r="A3" s="2" t="s">
        <v>0</v>
      </c>
      <c r="B3" s="2" t="s">
        <v>19</v>
      </c>
      <c r="C3" s="2" t="s">
        <v>32</v>
      </c>
      <c r="D3" s="2" t="s">
        <v>33</v>
      </c>
      <c r="E3" s="2" t="s">
        <v>34</v>
      </c>
      <c r="F3" s="2" t="s">
        <v>34</v>
      </c>
      <c r="G3" s="2" t="s">
        <v>1</v>
      </c>
      <c r="H3" s="2" t="s">
        <v>5</v>
      </c>
      <c r="I3" s="2" t="s">
        <v>6</v>
      </c>
      <c r="K3" t="s">
        <v>11</v>
      </c>
      <c r="L3" s="6">
        <f>AVERAGEIFS(H:H,G:G, "X", B:B, "Tâche")</f>
        <v>1.125</v>
      </c>
    </row>
    <row r="4" spans="1:13" ht="15.75" x14ac:dyDescent="0.25">
      <c r="A4" s="12" t="s">
        <v>38</v>
      </c>
      <c r="B4" s="3" t="s">
        <v>37</v>
      </c>
      <c r="C4" s="4"/>
      <c r="D4" s="4"/>
      <c r="E4" s="4"/>
      <c r="F4" s="4"/>
      <c r="G4" s="3"/>
      <c r="H4" s="5"/>
      <c r="I4" s="5"/>
      <c r="K4" t="s">
        <v>16</v>
      </c>
      <c r="L4" s="6">
        <f>COUNTIFS(G:G, "X", B:B, "Récit")</f>
        <v>3</v>
      </c>
    </row>
    <row r="5" spans="1:13" ht="15.75" x14ac:dyDescent="0.25">
      <c r="A5" s="12" t="s">
        <v>39</v>
      </c>
      <c r="B5" s="3" t="s">
        <v>8</v>
      </c>
      <c r="C5" s="4"/>
      <c r="D5" s="4"/>
      <c r="E5" s="4"/>
      <c r="F5" s="4"/>
      <c r="G5" s="3" t="s">
        <v>55</v>
      </c>
      <c r="H5" s="1">
        <v>1</v>
      </c>
      <c r="I5" s="1"/>
      <c r="K5" t="s">
        <v>17</v>
      </c>
      <c r="L5" s="6">
        <f>COUNTIFS(G:G, "X", B:B, "Tâche")</f>
        <v>8</v>
      </c>
    </row>
    <row r="6" spans="1:13" ht="15.75" x14ac:dyDescent="0.25">
      <c r="A6" s="12" t="s">
        <v>54</v>
      </c>
      <c r="B6" s="3" t="s">
        <v>9</v>
      </c>
      <c r="C6" s="4"/>
      <c r="D6" s="4">
        <v>1</v>
      </c>
      <c r="E6" s="4"/>
      <c r="F6" s="4"/>
      <c r="G6" s="3" t="s">
        <v>41</v>
      </c>
      <c r="H6" s="1">
        <v>1</v>
      </c>
      <c r="I6" s="1"/>
    </row>
    <row r="7" spans="1:13" ht="16.5" thickBot="1" x14ac:dyDescent="0.3">
      <c r="A7" s="12" t="s">
        <v>49</v>
      </c>
      <c r="B7" s="3" t="s">
        <v>9</v>
      </c>
      <c r="C7" s="4">
        <v>0.4</v>
      </c>
      <c r="D7" s="4">
        <v>0.6</v>
      </c>
      <c r="E7" s="4"/>
      <c r="F7" s="4"/>
      <c r="G7" s="3" t="s">
        <v>41</v>
      </c>
      <c r="H7" s="1">
        <v>1</v>
      </c>
      <c r="I7" s="1"/>
      <c r="K7" s="9" t="s">
        <v>20</v>
      </c>
    </row>
    <row r="8" spans="1:13" ht="15.75" x14ac:dyDescent="0.25">
      <c r="A8" s="12" t="s">
        <v>50</v>
      </c>
      <c r="B8" s="3" t="s">
        <v>9</v>
      </c>
      <c r="C8" s="4">
        <v>0.9</v>
      </c>
      <c r="D8" s="4">
        <v>0.1</v>
      </c>
      <c r="E8" s="4"/>
      <c r="F8" s="4"/>
      <c r="G8" s="3" t="s">
        <v>41</v>
      </c>
      <c r="H8" s="1">
        <v>1</v>
      </c>
      <c r="I8" s="1"/>
      <c r="K8" t="s">
        <v>13</v>
      </c>
      <c r="L8" s="6">
        <f>COUNTIF(B:B,"Récit")</f>
        <v>4</v>
      </c>
    </row>
    <row r="9" spans="1:13" ht="15.75" x14ac:dyDescent="0.25">
      <c r="A9" s="12" t="s">
        <v>40</v>
      </c>
      <c r="B9" s="3" t="s">
        <v>37</v>
      </c>
      <c r="C9" s="4"/>
      <c r="D9" s="4"/>
      <c r="E9" s="4"/>
      <c r="F9" s="4"/>
      <c r="G9" s="3"/>
      <c r="H9" s="1"/>
      <c r="I9" s="1"/>
      <c r="K9" t="s">
        <v>14</v>
      </c>
      <c r="L9" s="6">
        <f>COUNTIF(B:B, "Tâche")</f>
        <v>10</v>
      </c>
    </row>
    <row r="10" spans="1:13" ht="15.75" x14ac:dyDescent="0.25">
      <c r="A10" s="12" t="s">
        <v>42</v>
      </c>
      <c r="B10" s="3" t="s">
        <v>8</v>
      </c>
      <c r="C10" s="4"/>
      <c r="D10" s="4"/>
      <c r="E10" s="4"/>
      <c r="F10" s="4"/>
      <c r="G10" s="3" t="s">
        <v>55</v>
      </c>
      <c r="H10" s="1">
        <v>2</v>
      </c>
      <c r="I10" s="1"/>
    </row>
    <row r="11" spans="1:13" ht="15.75" x14ac:dyDescent="0.25">
      <c r="A11" s="12" t="s">
        <v>47</v>
      </c>
      <c r="B11" s="3" t="s">
        <v>9</v>
      </c>
      <c r="C11" s="4"/>
      <c r="D11" s="4">
        <v>1</v>
      </c>
      <c r="E11" s="4"/>
      <c r="F11" s="4"/>
      <c r="G11" s="3" t="s">
        <v>41</v>
      </c>
      <c r="H11" s="1">
        <v>1</v>
      </c>
      <c r="I11" s="1"/>
      <c r="K11" t="s">
        <v>12</v>
      </c>
      <c r="L11" s="7">
        <f>L4/L8</f>
        <v>0.75</v>
      </c>
    </row>
    <row r="12" spans="1:13" ht="15.75" x14ac:dyDescent="0.25">
      <c r="A12" s="12" t="s">
        <v>48</v>
      </c>
      <c r="B12" s="3" t="s">
        <v>9</v>
      </c>
      <c r="C12" s="4"/>
      <c r="D12" s="4">
        <v>1</v>
      </c>
      <c r="E12" s="4"/>
      <c r="F12" s="4"/>
      <c r="G12" s="3" t="s">
        <v>41</v>
      </c>
      <c r="H12" s="1">
        <v>2</v>
      </c>
      <c r="I12" s="1"/>
      <c r="K12" t="s">
        <v>15</v>
      </c>
      <c r="L12" s="7">
        <f>L5/L9</f>
        <v>0.8</v>
      </c>
    </row>
    <row r="13" spans="1:13" ht="15.75" x14ac:dyDescent="0.25">
      <c r="A13" s="12" t="s">
        <v>43</v>
      </c>
      <c r="B13" s="3" t="s">
        <v>37</v>
      </c>
      <c r="C13" s="4"/>
      <c r="D13" s="4"/>
      <c r="E13" s="4"/>
      <c r="F13" s="4"/>
      <c r="G13" s="3"/>
      <c r="H13" s="1"/>
      <c r="I13" s="1"/>
    </row>
    <row r="14" spans="1:13" ht="16.5" thickBot="1" x14ac:dyDescent="0.3">
      <c r="A14" s="12" t="s">
        <v>44</v>
      </c>
      <c r="B14" s="3" t="s">
        <v>8</v>
      </c>
      <c r="C14" s="4"/>
      <c r="D14" s="4"/>
      <c r="E14" s="4"/>
      <c r="F14" s="4"/>
      <c r="G14" s="3" t="s">
        <v>55</v>
      </c>
      <c r="H14" s="1">
        <v>1</v>
      </c>
      <c r="I14" s="1"/>
      <c r="K14" s="9" t="s">
        <v>18</v>
      </c>
    </row>
    <row r="15" spans="1:13" ht="15.75" x14ac:dyDescent="0.25">
      <c r="A15" s="12" t="s">
        <v>51</v>
      </c>
      <c r="B15" s="3" t="s">
        <v>9</v>
      </c>
      <c r="C15" s="4">
        <v>1</v>
      </c>
      <c r="D15" s="4"/>
      <c r="E15" s="4"/>
      <c r="F15" s="4"/>
      <c r="G15" s="3" t="s">
        <v>41</v>
      </c>
      <c r="H15" s="1">
        <v>1</v>
      </c>
      <c r="I15" s="1"/>
      <c r="K15" t="s">
        <v>32</v>
      </c>
      <c r="L15" s="6">
        <f>SUMIFS(C:C,G:G,"X")</f>
        <v>4.3</v>
      </c>
      <c r="M15" s="7">
        <f>L15/SUM($L$15:$L$18)</f>
        <v>0.53749999999999998</v>
      </c>
    </row>
    <row r="16" spans="1:13" ht="15.75" x14ac:dyDescent="0.25">
      <c r="A16" s="12" t="s">
        <v>53</v>
      </c>
      <c r="B16" s="3" t="s">
        <v>9</v>
      </c>
      <c r="C16" s="4">
        <v>1</v>
      </c>
      <c r="D16" s="4"/>
      <c r="E16" s="4"/>
      <c r="F16" s="4"/>
      <c r="G16" s="3" t="s">
        <v>41</v>
      </c>
      <c r="H16" s="1">
        <v>1</v>
      </c>
      <c r="I16" s="1"/>
      <c r="K16" t="s">
        <v>33</v>
      </c>
      <c r="L16" s="6">
        <f>SUMIFS(D:D,G:G,"X")</f>
        <v>3.7</v>
      </c>
      <c r="M16" s="7">
        <f>L16/SUM($L$15:$L$18)</f>
        <v>0.46250000000000002</v>
      </c>
    </row>
    <row r="17" spans="1:15" ht="15.75" x14ac:dyDescent="0.25">
      <c r="A17" s="12" t="s">
        <v>52</v>
      </c>
      <c r="B17" s="3" t="s">
        <v>9</v>
      </c>
      <c r="C17" s="4">
        <v>1</v>
      </c>
      <c r="D17" s="4"/>
      <c r="E17" s="4"/>
      <c r="F17" s="4"/>
      <c r="G17" s="3" t="s">
        <v>41</v>
      </c>
      <c r="H17" s="1">
        <v>1</v>
      </c>
      <c r="I17" s="1"/>
    </row>
    <row r="18" spans="1:15" ht="15.75" x14ac:dyDescent="0.25">
      <c r="A18" s="12" t="s">
        <v>68</v>
      </c>
      <c r="B18" s="3" t="s">
        <v>37</v>
      </c>
      <c r="C18" s="4"/>
      <c r="D18" s="4"/>
      <c r="E18" s="4"/>
      <c r="F18" s="4"/>
      <c r="G18" s="3"/>
      <c r="H18" s="1"/>
      <c r="I18" s="1"/>
    </row>
    <row r="19" spans="1:15" ht="15.75" x14ac:dyDescent="0.25">
      <c r="A19" s="12" t="s">
        <v>69</v>
      </c>
      <c r="B19" s="3" t="s">
        <v>8</v>
      </c>
      <c r="C19" s="4"/>
      <c r="D19" s="4"/>
      <c r="E19" s="4"/>
      <c r="F19" s="4"/>
      <c r="G19" s="3"/>
      <c r="H19" s="1"/>
      <c r="I19" s="1"/>
    </row>
    <row r="20" spans="1:15" ht="18" thickBot="1" x14ac:dyDescent="0.35">
      <c r="A20" s="12" t="s">
        <v>35</v>
      </c>
      <c r="B20" s="3" t="s">
        <v>9</v>
      </c>
      <c r="C20" s="4">
        <v>1</v>
      </c>
      <c r="D20" s="4"/>
      <c r="E20" s="4"/>
      <c r="F20" s="4"/>
      <c r="G20" s="3"/>
      <c r="H20" s="1"/>
      <c r="I20" s="1"/>
      <c r="K20" s="8" t="s">
        <v>21</v>
      </c>
    </row>
    <row r="21" spans="1:15" ht="16.5" thickTop="1" x14ac:dyDescent="0.25">
      <c r="A21" s="12" t="s">
        <v>36</v>
      </c>
      <c r="B21" s="3" t="s">
        <v>9</v>
      </c>
      <c r="C21" s="4">
        <v>1</v>
      </c>
      <c r="D21" s="4"/>
      <c r="E21" s="4"/>
      <c r="F21" s="4"/>
      <c r="G21" s="3"/>
      <c r="H21" s="1"/>
      <c r="I21" s="1"/>
      <c r="L21" s="24" t="s">
        <v>4</v>
      </c>
      <c r="M21" s="24"/>
      <c r="N21" s="24"/>
      <c r="O21" s="24"/>
    </row>
    <row r="22" spans="1:15" ht="15.75" thickBot="1" x14ac:dyDescent="0.3">
      <c r="G22"/>
      <c r="K22" s="9" t="s">
        <v>22</v>
      </c>
      <c r="L22" s="21">
        <v>45903</v>
      </c>
      <c r="M22" s="21">
        <v>45905</v>
      </c>
      <c r="N22" s="21">
        <v>45910</v>
      </c>
      <c r="O22" s="21">
        <v>45912</v>
      </c>
    </row>
    <row r="23" spans="1:15" ht="127.15" customHeight="1" x14ac:dyDescent="0.25">
      <c r="G23"/>
      <c r="K23" s="10" t="s">
        <v>32</v>
      </c>
      <c r="L23" s="19" t="s">
        <v>85</v>
      </c>
      <c r="M23" s="19" t="s">
        <v>87</v>
      </c>
      <c r="N23" s="19" t="s">
        <v>89</v>
      </c>
      <c r="O23" s="19" t="s">
        <v>91</v>
      </c>
    </row>
    <row r="24" spans="1:15" ht="123.6" customHeight="1" x14ac:dyDescent="0.25">
      <c r="K24" s="10" t="s">
        <v>71</v>
      </c>
      <c r="L24" s="19" t="s">
        <v>86</v>
      </c>
      <c r="M24" s="19" t="s">
        <v>88</v>
      </c>
      <c r="N24" s="19" t="s">
        <v>89</v>
      </c>
      <c r="O24" s="19" t="s">
        <v>92</v>
      </c>
    </row>
    <row r="25" spans="1:15" ht="57" customHeight="1" x14ac:dyDescent="0.25"/>
    <row r="26" spans="1:15" ht="19.5" customHeight="1" thickBot="1" x14ac:dyDescent="0.3">
      <c r="K26" s="9" t="s">
        <v>24</v>
      </c>
    </row>
    <row r="27" spans="1:15" x14ac:dyDescent="0.25">
      <c r="K27" s="10" t="s">
        <v>25</v>
      </c>
      <c r="L27" s="25"/>
      <c r="M27" s="26"/>
      <c r="N27" s="26"/>
      <c r="O27" s="27"/>
    </row>
    <row r="28" spans="1:15" x14ac:dyDescent="0.25">
      <c r="K28" s="10" t="s">
        <v>26</v>
      </c>
      <c r="L28" s="25"/>
      <c r="M28" s="26"/>
      <c r="N28" s="26"/>
      <c r="O28" s="27"/>
    </row>
    <row r="30" spans="1:15" ht="15.75" thickBot="1" x14ac:dyDescent="0.3">
      <c r="K30" s="9" t="s">
        <v>27</v>
      </c>
    </row>
    <row r="31" spans="1:15" ht="44.45" customHeight="1" x14ac:dyDescent="0.25">
      <c r="K31" s="10" t="s">
        <v>28</v>
      </c>
      <c r="L31" s="25"/>
      <c r="M31" s="26"/>
      <c r="N31" s="26"/>
      <c r="O31" s="27"/>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8">
    <mergeCell ref="L32:O32"/>
    <mergeCell ref="L33:O33"/>
    <mergeCell ref="L35:O35"/>
    <mergeCell ref="B1:I1"/>
    <mergeCell ref="L21:O21"/>
    <mergeCell ref="L31:O31"/>
    <mergeCell ref="L27:O27"/>
    <mergeCell ref="L28:O28"/>
  </mergeCells>
  <pageMargins left="0.7" right="0.7" top="0.75" bottom="0.75" header="0.3" footer="0.3"/>
  <pageSetup orientation="portrait" horizontalDpi="4294967295" verticalDpi="4294967295"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DB0FC-E645-4BFB-AF77-2211428F11BA}">
  <dimension ref="A1:O39"/>
  <sheetViews>
    <sheetView topLeftCell="E15" zoomScale="115" zoomScaleNormal="115" workbookViewId="0">
      <selection activeCell="L23" sqref="L23"/>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2.3333333333333335</v>
      </c>
    </row>
    <row r="3" spans="1:13" x14ac:dyDescent="0.25">
      <c r="A3" s="2" t="s">
        <v>0</v>
      </c>
      <c r="B3" s="2" t="s">
        <v>19</v>
      </c>
      <c r="C3" s="2" t="s">
        <v>32</v>
      </c>
      <c r="D3" s="2" t="s">
        <v>33</v>
      </c>
      <c r="E3" s="2" t="s">
        <v>34</v>
      </c>
      <c r="F3" s="2" t="s">
        <v>34</v>
      </c>
      <c r="G3" s="2" t="s">
        <v>1</v>
      </c>
      <c r="H3" s="2" t="s">
        <v>5</v>
      </c>
      <c r="I3" s="2" t="s">
        <v>6</v>
      </c>
      <c r="K3" t="s">
        <v>11</v>
      </c>
      <c r="L3" s="6">
        <f>AVERAGEIFS(H:H,G:G, "X", B:B, "Tâche")</f>
        <v>1.6363636363636365</v>
      </c>
    </row>
    <row r="4" spans="1:13" ht="15.75" x14ac:dyDescent="0.25">
      <c r="A4" s="15" t="s">
        <v>45</v>
      </c>
      <c r="B4" s="3" t="s">
        <v>37</v>
      </c>
      <c r="C4" s="4"/>
      <c r="D4" s="4"/>
      <c r="E4" s="4"/>
      <c r="F4" s="4"/>
      <c r="G4" s="3"/>
      <c r="H4" s="5"/>
      <c r="I4" s="5"/>
      <c r="K4" t="s">
        <v>16</v>
      </c>
      <c r="L4" s="6">
        <f>COUNTIFS(G:G, "X", B:B, "Récit")</f>
        <v>3</v>
      </c>
    </row>
    <row r="5" spans="1:13" ht="15.75" x14ac:dyDescent="0.25">
      <c r="A5" s="15" t="s">
        <v>46</v>
      </c>
      <c r="B5" s="3" t="s">
        <v>8</v>
      </c>
      <c r="C5" s="4"/>
      <c r="D5" s="4"/>
      <c r="E5" s="4"/>
      <c r="F5" s="4"/>
      <c r="G5" s="3" t="s">
        <v>55</v>
      </c>
      <c r="H5" s="1">
        <v>3</v>
      </c>
      <c r="I5" s="1"/>
      <c r="K5" t="s">
        <v>17</v>
      </c>
      <c r="L5" s="6">
        <f>COUNTIFS(G:G, "X", B:B, "Tâche")</f>
        <v>11</v>
      </c>
    </row>
    <row r="6" spans="1:13" ht="15.75" x14ac:dyDescent="0.25">
      <c r="A6" s="15" t="s">
        <v>56</v>
      </c>
      <c r="B6" s="3" t="s">
        <v>9</v>
      </c>
      <c r="C6" s="4"/>
      <c r="D6" s="4">
        <v>1</v>
      </c>
      <c r="E6" s="4"/>
      <c r="F6" s="4"/>
      <c r="G6" s="3" t="s">
        <v>55</v>
      </c>
      <c r="H6" s="1">
        <v>2</v>
      </c>
      <c r="I6" s="1"/>
    </row>
    <row r="7" spans="1:13" ht="16.5" thickBot="1" x14ac:dyDescent="0.3">
      <c r="A7" s="15" t="s">
        <v>57</v>
      </c>
      <c r="B7" s="3" t="s">
        <v>9</v>
      </c>
      <c r="C7" s="4"/>
      <c r="D7" s="4">
        <v>1</v>
      </c>
      <c r="E7" s="4"/>
      <c r="F7" s="4"/>
      <c r="G7" s="3" t="s">
        <v>55</v>
      </c>
      <c r="H7" s="1">
        <v>1</v>
      </c>
      <c r="I7" s="1"/>
      <c r="K7" s="9" t="s">
        <v>20</v>
      </c>
    </row>
    <row r="8" spans="1:13" ht="15.75" x14ac:dyDescent="0.25">
      <c r="A8" s="15" t="s">
        <v>58</v>
      </c>
      <c r="B8" s="3" t="s">
        <v>9</v>
      </c>
      <c r="C8" s="4"/>
      <c r="D8" s="4">
        <v>1</v>
      </c>
      <c r="E8" s="4"/>
      <c r="F8" s="4"/>
      <c r="G8" s="3" t="s">
        <v>55</v>
      </c>
      <c r="H8" s="1">
        <v>3</v>
      </c>
      <c r="I8" s="1"/>
      <c r="K8" t="s">
        <v>13</v>
      </c>
      <c r="L8" s="6">
        <f>COUNTIF(B:B,"Récit")</f>
        <v>4</v>
      </c>
    </row>
    <row r="9" spans="1:13" ht="15.75" x14ac:dyDescent="0.25">
      <c r="A9" s="12" t="s">
        <v>70</v>
      </c>
      <c r="B9" s="3" t="s">
        <v>9</v>
      </c>
      <c r="C9" s="4"/>
      <c r="D9" s="4">
        <v>1</v>
      </c>
      <c r="E9" s="4"/>
      <c r="F9" s="4"/>
      <c r="G9" s="3" t="s">
        <v>55</v>
      </c>
      <c r="H9" s="1">
        <v>2</v>
      </c>
      <c r="I9" s="1"/>
      <c r="K9" t="s">
        <v>14</v>
      </c>
      <c r="L9" s="6">
        <f>COUNTIF(B:B, "Tâche")</f>
        <v>11</v>
      </c>
    </row>
    <row r="10" spans="1:13" ht="15.75" x14ac:dyDescent="0.25">
      <c r="A10" s="12" t="s">
        <v>59</v>
      </c>
      <c r="B10" s="3" t="s">
        <v>37</v>
      </c>
      <c r="C10" s="4"/>
      <c r="D10" s="4"/>
      <c r="E10" s="4"/>
      <c r="F10" s="4"/>
      <c r="G10" s="3"/>
      <c r="H10" s="1"/>
      <c r="I10" s="1"/>
    </row>
    <row r="11" spans="1:13" ht="15.75" x14ac:dyDescent="0.25">
      <c r="A11" s="12" t="s">
        <v>60</v>
      </c>
      <c r="B11" s="3" t="s">
        <v>8</v>
      </c>
      <c r="C11" s="4"/>
      <c r="D11" s="4"/>
      <c r="E11" s="4"/>
      <c r="F11" s="4"/>
      <c r="G11" s="3" t="s">
        <v>55</v>
      </c>
      <c r="H11" s="1">
        <v>3</v>
      </c>
      <c r="I11" s="1"/>
      <c r="K11" t="s">
        <v>12</v>
      </c>
      <c r="L11" s="7">
        <f>L4/L8</f>
        <v>0.75</v>
      </c>
    </row>
    <row r="12" spans="1:13" ht="15.75" x14ac:dyDescent="0.25">
      <c r="A12" s="12" t="s">
        <v>61</v>
      </c>
      <c r="B12" s="3" t="s">
        <v>9</v>
      </c>
      <c r="C12" s="4">
        <v>1</v>
      </c>
      <c r="D12" s="4"/>
      <c r="E12" s="4"/>
      <c r="F12" s="4"/>
      <c r="G12" s="3" t="s">
        <v>55</v>
      </c>
      <c r="H12" s="1">
        <v>2</v>
      </c>
      <c r="I12" s="1"/>
      <c r="K12" t="s">
        <v>15</v>
      </c>
      <c r="L12" s="7">
        <f>L5/L9</f>
        <v>1</v>
      </c>
    </row>
    <row r="13" spans="1:13" ht="15.75" x14ac:dyDescent="0.25">
      <c r="A13" s="12" t="s">
        <v>62</v>
      </c>
      <c r="B13" s="3" t="s">
        <v>9</v>
      </c>
      <c r="C13" s="4">
        <v>1</v>
      </c>
      <c r="D13" s="4"/>
      <c r="E13" s="4"/>
      <c r="F13" s="4"/>
      <c r="G13" s="3" t="s">
        <v>55</v>
      </c>
      <c r="H13" s="1">
        <v>1</v>
      </c>
      <c r="I13" s="1"/>
    </row>
    <row r="14" spans="1:13" ht="16.5" thickBot="1" x14ac:dyDescent="0.3">
      <c r="A14" s="12" t="s">
        <v>63</v>
      </c>
      <c r="B14" s="3" t="s">
        <v>9</v>
      </c>
      <c r="C14" s="4">
        <v>1</v>
      </c>
      <c r="D14" s="4"/>
      <c r="E14" s="4"/>
      <c r="F14" s="4"/>
      <c r="G14" s="3" t="s">
        <v>55</v>
      </c>
      <c r="H14" s="1">
        <v>1</v>
      </c>
      <c r="I14" s="1"/>
      <c r="K14" s="9" t="s">
        <v>18</v>
      </c>
    </row>
    <row r="15" spans="1:13" ht="15.75" x14ac:dyDescent="0.25">
      <c r="A15" s="12" t="s">
        <v>64</v>
      </c>
      <c r="B15" s="3" t="s">
        <v>9</v>
      </c>
      <c r="C15" s="4">
        <v>0.5</v>
      </c>
      <c r="D15" s="4">
        <v>0.5</v>
      </c>
      <c r="E15" s="4"/>
      <c r="F15" s="4"/>
      <c r="G15" s="3" t="s">
        <v>55</v>
      </c>
      <c r="H15" s="1">
        <v>3</v>
      </c>
      <c r="I15" s="1"/>
      <c r="K15" t="s">
        <v>32</v>
      </c>
      <c r="L15" s="6">
        <f>SUMIFS(C:C,G:G,"X")</f>
        <v>6.5</v>
      </c>
      <c r="M15" s="7">
        <f>L15/SUM($L$15:$L$18)</f>
        <v>0.59090909090909094</v>
      </c>
    </row>
    <row r="16" spans="1:13" ht="15.75" x14ac:dyDescent="0.25">
      <c r="A16" s="12" t="s">
        <v>65</v>
      </c>
      <c r="B16" s="3" t="s">
        <v>37</v>
      </c>
      <c r="C16" s="4"/>
      <c r="D16" s="4"/>
      <c r="E16" s="4"/>
      <c r="F16" s="4"/>
      <c r="G16" s="3"/>
      <c r="H16" s="1"/>
      <c r="I16" s="1"/>
      <c r="K16" t="s">
        <v>33</v>
      </c>
      <c r="L16" s="6">
        <f>SUMIFS(D:D,G:G,"X")</f>
        <v>4.5</v>
      </c>
      <c r="M16" s="7">
        <f>L16/SUM($L$15:$L$18)</f>
        <v>0.40909090909090912</v>
      </c>
    </row>
    <row r="17" spans="1:15" ht="15.75" x14ac:dyDescent="0.25">
      <c r="A17" s="12" t="s">
        <v>66</v>
      </c>
      <c r="B17" s="3" t="s">
        <v>8</v>
      </c>
      <c r="C17" s="4"/>
      <c r="D17" s="4"/>
      <c r="E17" s="4"/>
      <c r="F17" s="4"/>
      <c r="G17" s="3"/>
      <c r="H17" s="1">
        <v>1</v>
      </c>
      <c r="I17" s="1"/>
    </row>
    <row r="18" spans="1:15" ht="15.75" x14ac:dyDescent="0.25">
      <c r="A18" s="11" t="s">
        <v>67</v>
      </c>
      <c r="B18" s="3" t="s">
        <v>9</v>
      </c>
      <c r="C18" s="4">
        <v>1</v>
      </c>
      <c r="D18" s="4"/>
      <c r="E18" s="4"/>
      <c r="F18" s="4"/>
      <c r="G18" s="3" t="s">
        <v>55</v>
      </c>
      <c r="H18" s="1">
        <v>1</v>
      </c>
      <c r="I18" s="1"/>
      <c r="O18" t="s">
        <v>93</v>
      </c>
    </row>
    <row r="19" spans="1:15" ht="15.75" x14ac:dyDescent="0.25">
      <c r="A19" s="12" t="s">
        <v>68</v>
      </c>
      <c r="B19" s="3" t="s">
        <v>37</v>
      </c>
      <c r="C19" s="4"/>
      <c r="D19" s="4"/>
      <c r="E19" s="4"/>
      <c r="F19" s="4"/>
      <c r="G19" s="3"/>
      <c r="H19" s="1"/>
      <c r="I19" s="1"/>
    </row>
    <row r="20" spans="1:15" ht="18" thickBot="1" x14ac:dyDescent="0.35">
      <c r="A20" s="12" t="s">
        <v>69</v>
      </c>
      <c r="B20" s="3" t="s">
        <v>8</v>
      </c>
      <c r="C20" s="4"/>
      <c r="D20" s="4"/>
      <c r="E20" s="4"/>
      <c r="F20" s="4"/>
      <c r="G20" s="3" t="s">
        <v>55</v>
      </c>
      <c r="H20" s="1">
        <v>1</v>
      </c>
      <c r="I20" s="1"/>
      <c r="K20" s="8" t="s">
        <v>21</v>
      </c>
    </row>
    <row r="21" spans="1:15" ht="16.5" thickTop="1" x14ac:dyDescent="0.25">
      <c r="A21" s="12" t="s">
        <v>35</v>
      </c>
      <c r="B21" s="3" t="s">
        <v>9</v>
      </c>
      <c r="C21" s="4">
        <v>1</v>
      </c>
      <c r="D21" s="4"/>
      <c r="E21" s="4"/>
      <c r="F21" s="4"/>
      <c r="G21" s="3" t="s">
        <v>55</v>
      </c>
      <c r="H21" s="1">
        <v>1</v>
      </c>
      <c r="I21" s="1">
        <v>2</v>
      </c>
      <c r="L21" s="24" t="s">
        <v>4</v>
      </c>
      <c r="M21" s="24"/>
      <c r="N21" s="24"/>
      <c r="O21" s="24"/>
    </row>
    <row r="22" spans="1:15" ht="16.5" thickBot="1" x14ac:dyDescent="0.3">
      <c r="A22" s="12" t="s">
        <v>36</v>
      </c>
      <c r="B22" s="3" t="s">
        <v>9</v>
      </c>
      <c r="C22" s="4">
        <v>1</v>
      </c>
      <c r="D22" s="4"/>
      <c r="E22" s="4"/>
      <c r="F22" s="4"/>
      <c r="G22" s="3" t="s">
        <v>55</v>
      </c>
      <c r="H22" s="1">
        <v>1</v>
      </c>
      <c r="I22" s="1">
        <v>2</v>
      </c>
      <c r="K22" s="9" t="s">
        <v>22</v>
      </c>
      <c r="L22" s="21">
        <v>45917</v>
      </c>
      <c r="M22" s="21">
        <v>45919</v>
      </c>
      <c r="N22" s="21">
        <v>45924</v>
      </c>
      <c r="O22" s="21">
        <v>45926</v>
      </c>
    </row>
    <row r="23" spans="1:15" ht="127.15" customHeight="1" x14ac:dyDescent="0.25">
      <c r="K23" s="10" t="s">
        <v>32</v>
      </c>
      <c r="L23" s="19" t="s">
        <v>94</v>
      </c>
      <c r="M23" s="20"/>
      <c r="N23" s="20"/>
      <c r="O23" s="20"/>
    </row>
    <row r="24" spans="1:15" ht="123.6" customHeight="1" x14ac:dyDescent="0.25">
      <c r="K24" s="10" t="s">
        <v>71</v>
      </c>
      <c r="L24" s="19" t="s">
        <v>23</v>
      </c>
      <c r="M24" s="20"/>
      <c r="N24" s="20" t="s">
        <v>90</v>
      </c>
      <c r="O24" s="20"/>
    </row>
    <row r="25" spans="1:15" ht="56.25" customHeight="1" x14ac:dyDescent="0.25"/>
    <row r="26" spans="1:15" ht="19.5" customHeight="1" thickBot="1" x14ac:dyDescent="0.3">
      <c r="K26" s="9" t="s">
        <v>24</v>
      </c>
    </row>
    <row r="27" spans="1:15" x14ac:dyDescent="0.25">
      <c r="K27" s="10" t="s">
        <v>25</v>
      </c>
      <c r="L27" s="14"/>
      <c r="M27" s="14"/>
      <c r="N27" s="14"/>
      <c r="O27" s="14"/>
    </row>
    <row r="28" spans="1:15" x14ac:dyDescent="0.25">
      <c r="K28" s="10" t="s">
        <v>26</v>
      </c>
      <c r="L28" s="13"/>
      <c r="M28" s="13"/>
      <c r="N28" s="13"/>
      <c r="O28" s="13"/>
    </row>
    <row r="30" spans="1:15" ht="15.75" thickBot="1" x14ac:dyDescent="0.3">
      <c r="K30" s="9" t="s">
        <v>27</v>
      </c>
    </row>
    <row r="31" spans="1:15" ht="44.45" customHeight="1" x14ac:dyDescent="0.25">
      <c r="K31" s="10" t="s">
        <v>28</v>
      </c>
      <c r="L31" s="13"/>
      <c r="M31" s="13"/>
      <c r="N31" s="13"/>
      <c r="O31" s="13"/>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5">
    <mergeCell ref="L33:O33"/>
    <mergeCell ref="L35:O35"/>
    <mergeCell ref="B1:I1"/>
    <mergeCell ref="L21:O21"/>
    <mergeCell ref="L32:O32"/>
  </mergeCells>
  <pageMargins left="0.7" right="0.7" top="0.75" bottom="0.75" header="0.3" footer="0.3"/>
  <pageSetup orientation="portrait" horizontalDpi="4294967295" verticalDpi="4294967295"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89D88-D446-4DD3-8CAA-9D39C7F32674}">
  <dimension ref="A1:O43"/>
  <sheetViews>
    <sheetView tabSelected="1" topLeftCell="A2" zoomScale="70" zoomScaleNormal="70" workbookViewId="0">
      <selection activeCell="A6" sqref="A6"/>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1</v>
      </c>
    </row>
    <row r="3" spans="1:13" x14ac:dyDescent="0.25">
      <c r="A3" s="2" t="s">
        <v>0</v>
      </c>
      <c r="B3" s="2" t="s">
        <v>19</v>
      </c>
      <c r="C3" s="2" t="s">
        <v>32</v>
      </c>
      <c r="D3" s="2" t="s">
        <v>33</v>
      </c>
      <c r="E3" s="2"/>
      <c r="F3" s="2"/>
      <c r="G3" s="2" t="s">
        <v>1</v>
      </c>
      <c r="H3" s="2" t="s">
        <v>5</v>
      </c>
      <c r="I3" s="2" t="s">
        <v>6</v>
      </c>
      <c r="K3" t="s">
        <v>11</v>
      </c>
      <c r="L3" s="6">
        <f>AVERAGEIFS(H:H,G:G, "X", B:B, "Tâche")</f>
        <v>1</v>
      </c>
    </row>
    <row r="4" spans="1:13" ht="15.75" x14ac:dyDescent="0.25">
      <c r="A4" s="15"/>
      <c r="B4" s="3" t="s">
        <v>37</v>
      </c>
      <c r="C4" s="4"/>
      <c r="D4" s="4"/>
      <c r="E4" s="4"/>
      <c r="F4" s="4"/>
      <c r="G4" s="3"/>
      <c r="H4" s="5"/>
      <c r="I4" s="5"/>
      <c r="K4" t="s">
        <v>16</v>
      </c>
      <c r="L4" s="6">
        <f>COUNTIFS(G:G, "X", B:B, "Récit")</f>
        <v>2</v>
      </c>
    </row>
    <row r="5" spans="1:13" ht="15.75" x14ac:dyDescent="0.25">
      <c r="A5" s="15"/>
      <c r="B5" s="3" t="s">
        <v>8</v>
      </c>
      <c r="C5" s="4"/>
      <c r="D5" s="4"/>
      <c r="E5" s="4"/>
      <c r="F5" s="4"/>
      <c r="G5" s="3" t="s">
        <v>55</v>
      </c>
      <c r="H5" s="1"/>
      <c r="I5" s="1"/>
      <c r="K5" t="s">
        <v>17</v>
      </c>
      <c r="L5" s="6">
        <f>COUNTIFS(G:G, "X", B:B, "Tâche")</f>
        <v>9</v>
      </c>
    </row>
    <row r="6" spans="1:13" ht="15.75" x14ac:dyDescent="0.25">
      <c r="A6" s="15"/>
      <c r="B6" s="3" t="s">
        <v>9</v>
      </c>
      <c r="C6" s="4"/>
      <c r="D6" s="4">
        <v>1</v>
      </c>
      <c r="E6" s="4"/>
      <c r="F6" s="4"/>
      <c r="G6" s="3" t="s">
        <v>55</v>
      </c>
      <c r="H6" s="1"/>
      <c r="I6" s="1"/>
    </row>
    <row r="7" spans="1:13" ht="16.5" thickBot="1" x14ac:dyDescent="0.3">
      <c r="A7" s="15"/>
      <c r="B7" s="3" t="s">
        <v>9</v>
      </c>
      <c r="C7" s="4"/>
      <c r="D7" s="4">
        <v>1</v>
      </c>
      <c r="E7" s="4"/>
      <c r="F7" s="4"/>
      <c r="G7" s="3" t="s">
        <v>55</v>
      </c>
      <c r="H7" s="1"/>
      <c r="I7" s="1"/>
      <c r="K7" s="9" t="s">
        <v>20</v>
      </c>
    </row>
    <row r="8" spans="1:13" ht="15.75" x14ac:dyDescent="0.25">
      <c r="A8" s="15"/>
      <c r="B8" s="3" t="s">
        <v>9</v>
      </c>
      <c r="C8" s="4"/>
      <c r="D8" s="4">
        <v>1</v>
      </c>
      <c r="E8" s="4"/>
      <c r="F8" s="4"/>
      <c r="G8" s="3" t="s">
        <v>55</v>
      </c>
      <c r="H8" s="1"/>
      <c r="I8" s="1"/>
      <c r="K8" t="s">
        <v>13</v>
      </c>
      <c r="L8" s="6">
        <f>COUNTIF(B:B,"Récit")</f>
        <v>5</v>
      </c>
    </row>
    <row r="9" spans="1:13" ht="15.75" x14ac:dyDescent="0.25">
      <c r="A9" s="12"/>
      <c r="B9" s="3" t="s">
        <v>9</v>
      </c>
      <c r="C9" s="4"/>
      <c r="D9" s="4">
        <v>1</v>
      </c>
      <c r="E9" s="4"/>
      <c r="F9" s="4"/>
      <c r="G9" s="3" t="s">
        <v>55</v>
      </c>
      <c r="H9" s="1"/>
      <c r="I9" s="1"/>
      <c r="K9" t="s">
        <v>14</v>
      </c>
      <c r="L9" s="6">
        <f>COUNTIF(B:B, "Tâche")</f>
        <v>11</v>
      </c>
    </row>
    <row r="10" spans="1:13" ht="15.75" x14ac:dyDescent="0.25">
      <c r="A10" s="12"/>
      <c r="B10" s="3" t="s">
        <v>37</v>
      </c>
      <c r="C10" s="4"/>
      <c r="D10" s="4"/>
      <c r="E10" s="4"/>
      <c r="F10" s="4"/>
      <c r="G10" s="3"/>
      <c r="H10" s="1"/>
      <c r="I10" s="1"/>
    </row>
    <row r="11" spans="1:13" ht="15.75" x14ac:dyDescent="0.25">
      <c r="A11" s="12"/>
      <c r="B11" s="3" t="s">
        <v>8</v>
      </c>
      <c r="C11" s="4"/>
      <c r="D11" s="4"/>
      <c r="E11" s="4"/>
      <c r="F11" s="4"/>
      <c r="G11" s="3"/>
      <c r="H11" s="1"/>
      <c r="I11" s="1"/>
      <c r="K11" t="s">
        <v>12</v>
      </c>
      <c r="L11" s="7">
        <f>L4/L8</f>
        <v>0.4</v>
      </c>
    </row>
    <row r="12" spans="1:13" ht="15.75" x14ac:dyDescent="0.25">
      <c r="A12" s="12" t="s">
        <v>82</v>
      </c>
      <c r="B12" s="3" t="s">
        <v>9</v>
      </c>
      <c r="C12" s="4"/>
      <c r="D12" s="4"/>
      <c r="E12" s="4"/>
      <c r="F12" s="4"/>
      <c r="G12" s="3"/>
      <c r="H12" s="1"/>
      <c r="I12" s="1"/>
      <c r="K12" t="s">
        <v>15</v>
      </c>
      <c r="L12" s="7">
        <f>L5/L9</f>
        <v>0.81818181818181823</v>
      </c>
    </row>
    <row r="13" spans="1:13" ht="15.75" x14ac:dyDescent="0.25">
      <c r="A13" s="12" t="s">
        <v>83</v>
      </c>
      <c r="B13" s="3" t="s">
        <v>9</v>
      </c>
      <c r="C13" s="4"/>
      <c r="D13" s="4"/>
      <c r="E13" s="4"/>
      <c r="F13" s="4"/>
      <c r="G13" s="3"/>
      <c r="H13" s="1"/>
      <c r="I13" s="1"/>
    </row>
    <row r="14" spans="1:13" ht="16.5" thickBot="1" x14ac:dyDescent="0.3">
      <c r="A14" s="12" t="s">
        <v>80</v>
      </c>
      <c r="B14" s="3" t="s">
        <v>9</v>
      </c>
      <c r="C14" s="4"/>
      <c r="D14" s="4">
        <v>1</v>
      </c>
      <c r="E14" s="4"/>
      <c r="F14" s="4"/>
      <c r="G14" s="3" t="s">
        <v>55</v>
      </c>
      <c r="H14" s="1">
        <v>1</v>
      </c>
      <c r="I14" s="1"/>
      <c r="K14" s="9" t="s">
        <v>18</v>
      </c>
    </row>
    <row r="15" spans="1:13" ht="15.75" x14ac:dyDescent="0.25">
      <c r="A15" s="12" t="s">
        <v>81</v>
      </c>
      <c r="B15" s="3" t="s">
        <v>9</v>
      </c>
      <c r="C15" s="4"/>
      <c r="D15" s="4">
        <v>1</v>
      </c>
      <c r="E15" s="4"/>
      <c r="F15" s="4"/>
      <c r="G15" s="3" t="s">
        <v>55</v>
      </c>
      <c r="H15" s="1">
        <v>1</v>
      </c>
      <c r="I15" s="1"/>
      <c r="K15" t="s">
        <v>32</v>
      </c>
      <c r="L15" s="6">
        <f>SUMIFS(C:C,G:G,"X")</f>
        <v>3</v>
      </c>
      <c r="M15" s="7">
        <f>L15/SUM($L$15:$L$18)</f>
        <v>0.33333333333333331</v>
      </c>
    </row>
    <row r="16" spans="1:13" ht="15.75" x14ac:dyDescent="0.25">
      <c r="A16" s="12" t="s">
        <v>65</v>
      </c>
      <c r="B16" s="3" t="s">
        <v>37</v>
      </c>
      <c r="C16" s="4"/>
      <c r="D16" s="4"/>
      <c r="E16" s="4"/>
      <c r="F16" s="4"/>
      <c r="G16" s="3"/>
      <c r="H16" s="1"/>
      <c r="I16" s="1"/>
      <c r="K16" t="s">
        <v>33</v>
      </c>
      <c r="L16" s="6">
        <f>SUMIFS(D:D,G:G,"X")</f>
        <v>6</v>
      </c>
      <c r="M16" s="7">
        <f>L16/SUM($L$15:$L$18)</f>
        <v>0.66666666666666663</v>
      </c>
    </row>
    <row r="17" spans="1:15" ht="15.75" x14ac:dyDescent="0.25">
      <c r="A17" s="12" t="s">
        <v>78</v>
      </c>
      <c r="B17" s="3" t="s">
        <v>8</v>
      </c>
      <c r="C17" s="4"/>
      <c r="D17" s="4"/>
      <c r="E17" s="4"/>
      <c r="F17" s="4"/>
      <c r="G17" s="3"/>
      <c r="H17" s="1">
        <v>1</v>
      </c>
      <c r="I17" s="1"/>
    </row>
    <row r="18" spans="1:15" ht="15.75" x14ac:dyDescent="0.25">
      <c r="A18" s="11" t="s">
        <v>79</v>
      </c>
      <c r="B18" s="3" t="s">
        <v>9</v>
      </c>
      <c r="C18" s="4">
        <v>1</v>
      </c>
      <c r="D18" s="4"/>
      <c r="E18" s="4"/>
      <c r="F18" s="4"/>
      <c r="G18" s="3" t="s">
        <v>55</v>
      </c>
      <c r="H18" s="1">
        <v>1</v>
      </c>
      <c r="I18" s="1"/>
    </row>
    <row r="19" spans="1:15" ht="15.75" x14ac:dyDescent="0.25">
      <c r="A19" s="12" t="s">
        <v>68</v>
      </c>
      <c r="B19" s="3" t="s">
        <v>37</v>
      </c>
      <c r="C19" s="4"/>
      <c r="D19" s="4"/>
      <c r="E19" s="4"/>
      <c r="F19" s="4"/>
      <c r="G19" s="3"/>
      <c r="H19" s="1"/>
      <c r="I19" s="1"/>
    </row>
    <row r="20" spans="1:15" ht="15.75" x14ac:dyDescent="0.25">
      <c r="A20" s="12" t="s">
        <v>69</v>
      </c>
      <c r="B20" s="3" t="s">
        <v>8</v>
      </c>
      <c r="C20" s="4"/>
      <c r="D20" s="4"/>
      <c r="E20" s="4"/>
      <c r="F20" s="4"/>
      <c r="G20" s="3" t="s">
        <v>55</v>
      </c>
      <c r="H20" s="1">
        <v>1</v>
      </c>
      <c r="I20" s="1"/>
    </row>
    <row r="21" spans="1:15" ht="15.75" x14ac:dyDescent="0.25">
      <c r="A21" s="12"/>
      <c r="B21" s="3"/>
      <c r="C21" s="4"/>
      <c r="D21" s="4"/>
      <c r="E21" s="4"/>
      <c r="F21" s="4"/>
      <c r="G21" s="3"/>
      <c r="H21" s="1"/>
      <c r="I21" s="1"/>
    </row>
    <row r="22" spans="1:15" ht="20.25" customHeight="1" x14ac:dyDescent="0.25">
      <c r="A22" s="12" t="s">
        <v>74</v>
      </c>
      <c r="B22" s="3" t="s">
        <v>37</v>
      </c>
      <c r="C22" s="4"/>
      <c r="D22" s="4"/>
      <c r="E22" s="4"/>
      <c r="F22" s="4"/>
      <c r="G22" s="3"/>
      <c r="H22" s="1"/>
      <c r="I22" s="1"/>
    </row>
    <row r="23" spans="1:15" ht="18.75" customHeight="1" x14ac:dyDescent="0.25">
      <c r="A23" s="12" t="s">
        <v>75</v>
      </c>
      <c r="B23" s="3" t="s">
        <v>8</v>
      </c>
      <c r="C23" s="4"/>
      <c r="D23" s="4"/>
      <c r="E23" s="4"/>
      <c r="F23" s="4"/>
      <c r="G23" s="3"/>
      <c r="H23" s="1"/>
      <c r="I23" s="1"/>
    </row>
    <row r="24" spans="1:15" ht="16.5" customHeight="1" x14ac:dyDescent="0.25">
      <c r="A24" s="12" t="s">
        <v>76</v>
      </c>
      <c r="B24" s="3" t="s">
        <v>9</v>
      </c>
      <c r="C24" s="4">
        <v>1</v>
      </c>
      <c r="D24" s="4"/>
      <c r="E24" s="4"/>
      <c r="F24" s="4"/>
      <c r="G24" s="3" t="s">
        <v>55</v>
      </c>
      <c r="H24" s="1">
        <v>1</v>
      </c>
      <c r="I24" s="1"/>
    </row>
    <row r="25" spans="1:15" ht="16.5" customHeight="1" x14ac:dyDescent="0.25">
      <c r="A25" s="12" t="s">
        <v>77</v>
      </c>
      <c r="B25" s="3" t="s">
        <v>9</v>
      </c>
      <c r="C25" s="4">
        <v>1</v>
      </c>
      <c r="D25" s="4"/>
      <c r="E25" s="4"/>
      <c r="F25" s="4"/>
      <c r="G25" s="3" t="s">
        <v>55</v>
      </c>
      <c r="H25" s="1">
        <v>1</v>
      </c>
      <c r="I25" s="1"/>
    </row>
    <row r="26" spans="1:15" ht="19.5" customHeight="1" x14ac:dyDescent="0.25"/>
    <row r="27" spans="1:15" ht="15.75" x14ac:dyDescent="0.25">
      <c r="A27" s="12"/>
    </row>
    <row r="28" spans="1:15" ht="18" thickBot="1" x14ac:dyDescent="0.35">
      <c r="K28" s="8" t="s">
        <v>21</v>
      </c>
    </row>
    <row r="29" spans="1:15" ht="15.75" thickTop="1" x14ac:dyDescent="0.25">
      <c r="L29" s="24" t="s">
        <v>4</v>
      </c>
      <c r="M29" s="24"/>
      <c r="N29" s="24"/>
      <c r="O29" s="24"/>
    </row>
    <row r="30" spans="1:15" ht="15.75" thickBot="1" x14ac:dyDescent="0.3">
      <c r="K30" s="9" t="s">
        <v>22</v>
      </c>
      <c r="L30" s="21">
        <v>45931</v>
      </c>
      <c r="M30" s="21">
        <v>45933</v>
      </c>
      <c r="N30" s="21">
        <v>45938</v>
      </c>
      <c r="O30" s="21">
        <v>45940</v>
      </c>
    </row>
    <row r="31" spans="1:15" ht="44.45" customHeight="1" x14ac:dyDescent="0.25">
      <c r="K31" s="10" t="s">
        <v>32</v>
      </c>
      <c r="L31" s="19"/>
      <c r="M31" s="20"/>
      <c r="N31" s="20"/>
      <c r="O31" s="20"/>
    </row>
    <row r="32" spans="1:15" ht="45" customHeight="1" x14ac:dyDescent="0.25">
      <c r="K32" s="10" t="s">
        <v>71</v>
      </c>
      <c r="L32" s="19"/>
      <c r="M32" s="20" t="s">
        <v>90</v>
      </c>
      <c r="N32" s="20"/>
      <c r="O32" s="20" t="s">
        <v>90</v>
      </c>
    </row>
    <row r="34" spans="11:15" ht="15.75" thickBot="1" x14ac:dyDescent="0.3">
      <c r="K34" s="9" t="s">
        <v>24</v>
      </c>
    </row>
    <row r="35" spans="11:15" ht="31.15" customHeight="1" x14ac:dyDescent="0.25">
      <c r="K35" s="10" t="s">
        <v>25</v>
      </c>
      <c r="L35" s="14"/>
      <c r="M35" s="14"/>
      <c r="N35" s="14"/>
      <c r="O35" s="14"/>
    </row>
    <row r="36" spans="11:15" ht="30.6" customHeight="1" x14ac:dyDescent="0.25">
      <c r="K36" s="10" t="s">
        <v>26</v>
      </c>
      <c r="L36" s="13"/>
      <c r="M36" s="13"/>
      <c r="N36" s="13"/>
      <c r="O36" s="13"/>
    </row>
    <row r="37" spans="11:15" ht="31.15" customHeight="1" x14ac:dyDescent="0.25"/>
    <row r="38" spans="11:15" ht="15.75" thickBot="1" x14ac:dyDescent="0.3">
      <c r="K38" s="9" t="s">
        <v>27</v>
      </c>
    </row>
    <row r="39" spans="11:15" ht="31.15" customHeight="1" x14ac:dyDescent="0.25">
      <c r="K39" s="10" t="s">
        <v>28</v>
      </c>
      <c r="L39" s="13"/>
      <c r="M39" s="13"/>
      <c r="N39" s="13"/>
      <c r="O39" s="13"/>
    </row>
    <row r="40" spans="11:15" x14ac:dyDescent="0.25">
      <c r="K40" s="10" t="s">
        <v>29</v>
      </c>
      <c r="L40" s="16"/>
      <c r="M40" s="17"/>
      <c r="N40" s="17"/>
      <c r="O40" s="18"/>
    </row>
    <row r="41" spans="11:15" x14ac:dyDescent="0.25">
      <c r="K41" s="10" t="s">
        <v>30</v>
      </c>
      <c r="L41" s="16"/>
      <c r="M41" s="17"/>
      <c r="N41" s="17"/>
      <c r="O41" s="18"/>
    </row>
    <row r="42" spans="11:15" x14ac:dyDescent="0.25">
      <c r="K42" s="10"/>
      <c r="L42" s="10"/>
      <c r="M42" s="10"/>
      <c r="N42" s="10"/>
      <c r="O42" s="10"/>
    </row>
    <row r="43" spans="11:15" x14ac:dyDescent="0.25">
      <c r="K43" s="10" t="s">
        <v>31</v>
      </c>
      <c r="L43" s="16"/>
      <c r="M43" s="17"/>
      <c r="N43" s="17"/>
      <c r="O43" s="18"/>
    </row>
  </sheetData>
  <mergeCells count="2">
    <mergeCell ref="B1:I1"/>
    <mergeCell ref="L29:O29"/>
  </mergeCells>
  <pageMargins left="0.7" right="0.7" top="0.75" bottom="0.75" header="0.3" footer="0.3"/>
  <pageSetup orientation="portrait" horizontalDpi="4294967295" verticalDpi="4294967295"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37C47-DF27-4421-A54B-1AE7B0D5C7F9}">
  <dimension ref="A1:O39"/>
  <sheetViews>
    <sheetView zoomScale="70" zoomScaleNormal="70" workbookViewId="0">
      <selection activeCell="A8" sqref="A8"/>
    </sheetView>
  </sheetViews>
  <sheetFormatPr baseColWidth="10" defaultColWidth="8.85546875" defaultRowHeight="15" x14ac:dyDescent="0.25"/>
  <cols>
    <col min="1" max="1" width="66.42578125" bestFit="1" customWidth="1"/>
    <col min="2" max="2" width="21.85546875" bestFit="1" customWidth="1"/>
    <col min="3" max="6" width="10.28515625" customWidth="1"/>
    <col min="7" max="7" width="8.140625" style="2" bestFit="1" customWidth="1"/>
    <col min="8" max="8" width="14.42578125" bestFit="1" customWidth="1"/>
    <col min="9" max="9" width="14.42578125" customWidth="1"/>
    <col min="11" max="11" width="47.5703125" bestFit="1" customWidth="1"/>
    <col min="12" max="12" width="30" customWidth="1"/>
    <col min="13" max="14" width="26.7109375" customWidth="1"/>
    <col min="15" max="15" width="29.28515625" customWidth="1"/>
  </cols>
  <sheetData>
    <row r="1" spans="1:13" ht="18" thickBot="1" x14ac:dyDescent="0.35">
      <c r="A1" t="s">
        <v>2</v>
      </c>
      <c r="B1" s="23" t="s">
        <v>7</v>
      </c>
      <c r="C1" s="23"/>
      <c r="D1" s="23"/>
      <c r="E1" s="23"/>
      <c r="F1" s="23"/>
      <c r="G1" s="23"/>
      <c r="H1" s="23"/>
      <c r="I1" s="23"/>
      <c r="K1" s="8" t="s">
        <v>3</v>
      </c>
    </row>
    <row r="2" spans="1:13" ht="15.75" thickTop="1" x14ac:dyDescent="0.25">
      <c r="K2" t="s">
        <v>10</v>
      </c>
      <c r="L2" s="6">
        <f>AVERAGEIFS(H:H,G:G, "X", B:B, "Récit")</f>
        <v>2.3333333333333335</v>
      </c>
    </row>
    <row r="3" spans="1:13" x14ac:dyDescent="0.25">
      <c r="A3" s="2" t="s">
        <v>0</v>
      </c>
      <c r="B3" s="2" t="s">
        <v>19</v>
      </c>
      <c r="C3" s="2" t="s">
        <v>32</v>
      </c>
      <c r="D3" s="2" t="s">
        <v>33</v>
      </c>
      <c r="E3" s="2" t="s">
        <v>34</v>
      </c>
      <c r="F3" s="2" t="s">
        <v>34</v>
      </c>
      <c r="G3" s="2" t="s">
        <v>1</v>
      </c>
      <c r="H3" s="2" t="s">
        <v>5</v>
      </c>
      <c r="I3" s="2" t="s">
        <v>6</v>
      </c>
      <c r="K3" t="s">
        <v>11</v>
      </c>
      <c r="L3" s="6">
        <f>AVERAGEIFS(H:H,G:G, "X", B:B, "Tâche")</f>
        <v>1.6363636363636365</v>
      </c>
    </row>
    <row r="4" spans="1:13" ht="15.75" x14ac:dyDescent="0.25">
      <c r="A4" s="15"/>
      <c r="B4" s="3" t="s">
        <v>37</v>
      </c>
      <c r="C4" s="4"/>
      <c r="D4" s="4"/>
      <c r="E4" s="4"/>
      <c r="F4" s="4"/>
      <c r="G4" s="3"/>
      <c r="H4" s="5"/>
      <c r="I4" s="5"/>
      <c r="K4" t="s">
        <v>16</v>
      </c>
      <c r="L4" s="6">
        <f>COUNTIFS(G:G, "X", B:B, "Récit")</f>
        <v>3</v>
      </c>
    </row>
    <row r="5" spans="1:13" ht="15.75" x14ac:dyDescent="0.25">
      <c r="A5" s="15"/>
      <c r="B5" s="3" t="s">
        <v>8</v>
      </c>
      <c r="C5" s="4"/>
      <c r="D5" s="4"/>
      <c r="E5" s="4"/>
      <c r="F5" s="4"/>
      <c r="G5" s="3" t="s">
        <v>55</v>
      </c>
      <c r="H5" s="1">
        <v>3</v>
      </c>
      <c r="I5" s="1"/>
      <c r="K5" t="s">
        <v>17</v>
      </c>
      <c r="L5" s="6">
        <f>COUNTIFS(G:G, "X", B:B, "Tâche")</f>
        <v>11</v>
      </c>
    </row>
    <row r="6" spans="1:13" ht="15.75" x14ac:dyDescent="0.25">
      <c r="A6" s="15"/>
      <c r="B6" s="3" t="s">
        <v>9</v>
      </c>
      <c r="C6" s="4"/>
      <c r="D6" s="4">
        <v>1</v>
      </c>
      <c r="E6" s="4"/>
      <c r="F6" s="4"/>
      <c r="G6" s="3" t="s">
        <v>55</v>
      </c>
      <c r="H6" s="1">
        <v>2</v>
      </c>
      <c r="I6" s="1"/>
    </row>
    <row r="7" spans="1:13" ht="16.5" thickBot="1" x14ac:dyDescent="0.3">
      <c r="A7" s="15"/>
      <c r="B7" s="3" t="s">
        <v>9</v>
      </c>
      <c r="C7" s="4"/>
      <c r="D7" s="4">
        <v>1</v>
      </c>
      <c r="E7" s="4"/>
      <c r="F7" s="4"/>
      <c r="G7" s="3" t="s">
        <v>55</v>
      </c>
      <c r="H7" s="1">
        <v>1</v>
      </c>
      <c r="I7" s="1"/>
      <c r="K7" s="9" t="s">
        <v>20</v>
      </c>
    </row>
    <row r="8" spans="1:13" ht="15.75" x14ac:dyDescent="0.25">
      <c r="A8" s="15"/>
      <c r="B8" s="3" t="s">
        <v>9</v>
      </c>
      <c r="C8" s="4"/>
      <c r="D8" s="4">
        <v>1</v>
      </c>
      <c r="E8" s="4"/>
      <c r="F8" s="4"/>
      <c r="G8" s="3" t="s">
        <v>55</v>
      </c>
      <c r="H8" s="1">
        <v>3</v>
      </c>
      <c r="I8" s="1"/>
      <c r="K8" t="s">
        <v>13</v>
      </c>
      <c r="L8" s="6">
        <f>COUNTIF(B:B,"Récit")</f>
        <v>4</v>
      </c>
    </row>
    <row r="9" spans="1:13" ht="15.75" x14ac:dyDescent="0.25">
      <c r="A9" s="12"/>
      <c r="B9" s="3" t="s">
        <v>9</v>
      </c>
      <c r="C9" s="4"/>
      <c r="D9" s="4">
        <v>1</v>
      </c>
      <c r="E9" s="4"/>
      <c r="F9" s="4"/>
      <c r="G9" s="3" t="s">
        <v>55</v>
      </c>
      <c r="H9" s="1">
        <v>2</v>
      </c>
      <c r="I9" s="1"/>
      <c r="K9" t="s">
        <v>14</v>
      </c>
      <c r="L9" s="6">
        <f>COUNTIF(B:B, "Tâche")</f>
        <v>11</v>
      </c>
    </row>
    <row r="10" spans="1:13" ht="15.75" x14ac:dyDescent="0.25">
      <c r="A10" s="12"/>
      <c r="B10" s="3" t="s">
        <v>37</v>
      </c>
      <c r="C10" s="4"/>
      <c r="D10" s="4"/>
      <c r="E10" s="4"/>
      <c r="F10" s="4"/>
      <c r="G10" s="3"/>
      <c r="H10" s="1"/>
      <c r="I10" s="1"/>
    </row>
    <row r="11" spans="1:13" ht="15.75" x14ac:dyDescent="0.25">
      <c r="A11" s="12"/>
      <c r="B11" s="3" t="s">
        <v>8</v>
      </c>
      <c r="C11" s="4"/>
      <c r="D11" s="4"/>
      <c r="E11" s="4"/>
      <c r="F11" s="4"/>
      <c r="G11" s="3" t="s">
        <v>55</v>
      </c>
      <c r="H11" s="1">
        <v>3</v>
      </c>
      <c r="I11" s="1"/>
      <c r="K11" t="s">
        <v>12</v>
      </c>
      <c r="L11" s="7">
        <f>L4/L8</f>
        <v>0.75</v>
      </c>
    </row>
    <row r="12" spans="1:13" ht="15.75" x14ac:dyDescent="0.25">
      <c r="A12" s="12"/>
      <c r="B12" s="3" t="s">
        <v>9</v>
      </c>
      <c r="C12" s="4">
        <v>1</v>
      </c>
      <c r="D12" s="4"/>
      <c r="E12" s="4"/>
      <c r="F12" s="4"/>
      <c r="G12" s="3" t="s">
        <v>55</v>
      </c>
      <c r="H12" s="1">
        <v>2</v>
      </c>
      <c r="I12" s="1"/>
      <c r="K12" t="s">
        <v>15</v>
      </c>
      <c r="L12" s="7">
        <f>L5/L9</f>
        <v>1</v>
      </c>
    </row>
    <row r="13" spans="1:13" ht="15.75" x14ac:dyDescent="0.25">
      <c r="A13" s="12"/>
      <c r="B13" s="3" t="s">
        <v>9</v>
      </c>
      <c r="C13" s="4">
        <v>1</v>
      </c>
      <c r="D13" s="4"/>
      <c r="E13" s="4"/>
      <c r="F13" s="4"/>
      <c r="G13" s="3" t="s">
        <v>55</v>
      </c>
      <c r="H13" s="1">
        <v>1</v>
      </c>
      <c r="I13" s="1"/>
    </row>
    <row r="14" spans="1:13" ht="16.5" thickBot="1" x14ac:dyDescent="0.3">
      <c r="A14" s="12"/>
      <c r="B14" s="3" t="s">
        <v>9</v>
      </c>
      <c r="C14" s="4">
        <v>1</v>
      </c>
      <c r="D14" s="4"/>
      <c r="E14" s="4"/>
      <c r="F14" s="4"/>
      <c r="G14" s="3" t="s">
        <v>55</v>
      </c>
      <c r="H14" s="1">
        <v>1</v>
      </c>
      <c r="I14" s="1"/>
      <c r="K14" s="9" t="s">
        <v>18</v>
      </c>
    </row>
    <row r="15" spans="1:13" ht="15.75" x14ac:dyDescent="0.25">
      <c r="A15" s="12"/>
      <c r="B15" s="3" t="s">
        <v>9</v>
      </c>
      <c r="C15" s="4">
        <v>0.5</v>
      </c>
      <c r="D15" s="4">
        <v>0.5</v>
      </c>
      <c r="E15" s="4"/>
      <c r="F15" s="4"/>
      <c r="G15" s="3" t="s">
        <v>55</v>
      </c>
      <c r="H15" s="1">
        <v>3</v>
      </c>
      <c r="I15" s="1"/>
      <c r="K15" t="s">
        <v>32</v>
      </c>
      <c r="L15" s="6">
        <f>SUMIFS(C:C,G:G,"X")</f>
        <v>6.5</v>
      </c>
      <c r="M15" s="7">
        <f>L15/SUM($L$15:$L$18)</f>
        <v>0.59090909090909094</v>
      </c>
    </row>
    <row r="16" spans="1:13" ht="15.75" x14ac:dyDescent="0.25">
      <c r="A16" s="12"/>
      <c r="B16" s="3" t="s">
        <v>37</v>
      </c>
      <c r="C16" s="4"/>
      <c r="D16" s="4"/>
      <c r="E16" s="4"/>
      <c r="F16" s="4"/>
      <c r="G16" s="3"/>
      <c r="H16" s="1"/>
      <c r="I16" s="1"/>
      <c r="K16" t="s">
        <v>33</v>
      </c>
      <c r="L16" s="6">
        <f>SUMIFS(D:D,G:G,"X")</f>
        <v>4.5</v>
      </c>
      <c r="M16" s="7">
        <f>L16/SUM($L$15:$L$18)</f>
        <v>0.40909090909090912</v>
      </c>
    </row>
    <row r="17" spans="1:15" ht="15.75" x14ac:dyDescent="0.25">
      <c r="A17" s="12"/>
      <c r="B17" s="3" t="s">
        <v>8</v>
      </c>
      <c r="C17" s="4"/>
      <c r="D17" s="4"/>
      <c r="E17" s="4"/>
      <c r="F17" s="4"/>
      <c r="G17" s="3"/>
      <c r="H17" s="1">
        <v>1</v>
      </c>
      <c r="I17" s="1"/>
    </row>
    <row r="18" spans="1:15" ht="15.75" x14ac:dyDescent="0.25">
      <c r="A18" s="11"/>
      <c r="B18" s="3" t="s">
        <v>9</v>
      </c>
      <c r="C18" s="4">
        <v>1</v>
      </c>
      <c r="D18" s="4"/>
      <c r="E18" s="4"/>
      <c r="F18" s="4"/>
      <c r="G18" s="3" t="s">
        <v>55</v>
      </c>
      <c r="H18" s="1">
        <v>1</v>
      </c>
      <c r="I18" s="1"/>
    </row>
    <row r="19" spans="1:15" ht="15.75" x14ac:dyDescent="0.25">
      <c r="A19" s="12"/>
      <c r="B19" s="3" t="s">
        <v>37</v>
      </c>
      <c r="C19" s="4"/>
      <c r="D19" s="4"/>
      <c r="E19" s="4"/>
      <c r="F19" s="4"/>
      <c r="G19" s="3"/>
      <c r="H19" s="1"/>
      <c r="I19" s="1"/>
    </row>
    <row r="20" spans="1:15" ht="18" thickBot="1" x14ac:dyDescent="0.35">
      <c r="A20" s="12"/>
      <c r="B20" s="3" t="s">
        <v>8</v>
      </c>
      <c r="C20" s="4"/>
      <c r="D20" s="4"/>
      <c r="E20" s="4"/>
      <c r="F20" s="4"/>
      <c r="G20" s="3" t="s">
        <v>55</v>
      </c>
      <c r="H20" s="1">
        <v>1</v>
      </c>
      <c r="I20" s="1"/>
      <c r="K20" s="8" t="s">
        <v>21</v>
      </c>
    </row>
    <row r="21" spans="1:15" ht="16.5" thickTop="1" x14ac:dyDescent="0.25">
      <c r="A21" s="12"/>
      <c r="B21" s="3" t="s">
        <v>9</v>
      </c>
      <c r="C21" s="4">
        <v>1</v>
      </c>
      <c r="D21" s="4"/>
      <c r="E21" s="4"/>
      <c r="F21" s="4"/>
      <c r="G21" s="3" t="s">
        <v>55</v>
      </c>
      <c r="H21" s="1">
        <v>1</v>
      </c>
      <c r="I21" s="1">
        <v>2</v>
      </c>
      <c r="L21" s="24" t="s">
        <v>4</v>
      </c>
      <c r="M21" s="24"/>
      <c r="N21" s="24"/>
      <c r="O21" s="24"/>
    </row>
    <row r="22" spans="1:15" ht="16.5" thickBot="1" x14ac:dyDescent="0.3">
      <c r="A22" s="12"/>
      <c r="B22" s="3" t="s">
        <v>9</v>
      </c>
      <c r="C22" s="4">
        <v>1</v>
      </c>
      <c r="D22" s="4"/>
      <c r="E22" s="4"/>
      <c r="F22" s="4"/>
      <c r="G22" s="3" t="s">
        <v>55</v>
      </c>
      <c r="H22" s="1">
        <v>1</v>
      </c>
      <c r="I22" s="1">
        <v>2</v>
      </c>
      <c r="K22" s="9" t="s">
        <v>22</v>
      </c>
      <c r="L22" s="21">
        <v>45947</v>
      </c>
      <c r="M22" s="21">
        <v>45952</v>
      </c>
      <c r="N22" s="21">
        <v>45954</v>
      </c>
      <c r="O22" s="21">
        <v>45959</v>
      </c>
    </row>
    <row r="23" spans="1:15" ht="127.15" customHeight="1" x14ac:dyDescent="0.25">
      <c r="K23" s="10" t="s">
        <v>32</v>
      </c>
      <c r="L23" s="19" t="s">
        <v>73</v>
      </c>
      <c r="M23" s="20" t="s">
        <v>84</v>
      </c>
      <c r="N23" s="19" t="s">
        <v>73</v>
      </c>
      <c r="O23" s="19" t="s">
        <v>73</v>
      </c>
    </row>
    <row r="24" spans="1:15" ht="123.6" customHeight="1" x14ac:dyDescent="0.25">
      <c r="K24" s="10" t="s">
        <v>71</v>
      </c>
      <c r="L24" s="19" t="s">
        <v>72</v>
      </c>
      <c r="M24" s="20"/>
      <c r="N24" s="20"/>
      <c r="O24" s="20"/>
    </row>
    <row r="25" spans="1:15" ht="56.25" customHeight="1" x14ac:dyDescent="0.25"/>
    <row r="26" spans="1:15" ht="19.5" customHeight="1" thickBot="1" x14ac:dyDescent="0.3">
      <c r="K26" s="9" t="s">
        <v>24</v>
      </c>
    </row>
    <row r="27" spans="1:15" x14ac:dyDescent="0.25">
      <c r="K27" s="10" t="s">
        <v>25</v>
      </c>
      <c r="L27" s="14"/>
      <c r="M27" s="14"/>
      <c r="N27" s="14"/>
      <c r="O27" s="14"/>
    </row>
    <row r="28" spans="1:15" x14ac:dyDescent="0.25">
      <c r="K28" s="10" t="s">
        <v>26</v>
      </c>
      <c r="L28" s="13"/>
      <c r="M28" s="13"/>
      <c r="N28" s="13"/>
      <c r="O28" s="13"/>
    </row>
    <row r="30" spans="1:15" ht="15.75" thickBot="1" x14ac:dyDescent="0.3">
      <c r="K30" s="9" t="s">
        <v>27</v>
      </c>
    </row>
    <row r="31" spans="1:15" ht="44.45" customHeight="1" x14ac:dyDescent="0.25">
      <c r="K31" s="10" t="s">
        <v>28</v>
      </c>
      <c r="L31" s="13"/>
      <c r="M31" s="13"/>
      <c r="N31" s="13"/>
      <c r="O31" s="13"/>
    </row>
    <row r="32" spans="1:15" ht="45" customHeight="1" x14ac:dyDescent="0.25">
      <c r="K32" s="10" t="s">
        <v>29</v>
      </c>
      <c r="L32" s="22"/>
      <c r="M32" s="22"/>
      <c r="N32" s="22"/>
      <c r="O32" s="22"/>
    </row>
    <row r="33" spans="11:15" x14ac:dyDescent="0.25">
      <c r="K33" s="10" t="s">
        <v>30</v>
      </c>
      <c r="L33" s="22"/>
      <c r="M33" s="22"/>
      <c r="N33" s="22"/>
      <c r="O33" s="22"/>
    </row>
    <row r="34" spans="11:15" x14ac:dyDescent="0.25">
      <c r="K34" s="10"/>
      <c r="L34" s="10"/>
      <c r="M34" s="10"/>
      <c r="N34" s="10"/>
      <c r="O34" s="10"/>
    </row>
    <row r="35" spans="11:15" ht="31.15" customHeight="1" x14ac:dyDescent="0.25">
      <c r="K35" s="10" t="s">
        <v>31</v>
      </c>
      <c r="L35" s="22"/>
      <c r="M35" s="22"/>
      <c r="N35" s="22"/>
      <c r="O35" s="22"/>
    </row>
    <row r="36" spans="11:15" ht="30.6" customHeight="1" x14ac:dyDescent="0.25"/>
    <row r="37" spans="11:15" ht="31.15" customHeight="1" x14ac:dyDescent="0.25"/>
    <row r="39" spans="11:15" ht="31.15" customHeight="1" x14ac:dyDescent="0.25"/>
  </sheetData>
  <mergeCells count="5">
    <mergeCell ref="B1:I1"/>
    <mergeCell ref="L21:O21"/>
    <mergeCell ref="L32:O32"/>
    <mergeCell ref="L33:O33"/>
    <mergeCell ref="L35:O35"/>
  </mergeCells>
  <pageMargins left="0.7" right="0.7" top="0.75" bottom="0.75" header="0.3" footer="0.3"/>
  <pageSetup orientation="portrait" horizontalDpi="4294967295" verticalDpi="4294967295"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Sprint1</vt:lpstr>
      <vt:lpstr>Sprint2</vt:lpstr>
      <vt:lpstr>Sprint3</vt:lpstr>
      <vt:lpstr>Sprint4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Stéphane Lévesque</dc:creator>
  <cp:lastModifiedBy>Pernichev, Boris</cp:lastModifiedBy>
  <dcterms:created xsi:type="dcterms:W3CDTF">2024-08-18T18:39:34Z</dcterms:created>
  <dcterms:modified xsi:type="dcterms:W3CDTF">2025-10-29T15:39:13Z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615819-ba40-4aaf-a034-39fd1d37cddf_Enabled">
    <vt:lpwstr>true</vt:lpwstr>
  </property>
  <property fmtid="{D5CDD505-2E9C-101B-9397-08002B2CF9AE}" pid="3" name="MSIP_Label_6b615819-ba40-4aaf-a034-39fd1d37cddf_SetDate">
    <vt:lpwstr>2024-08-29T15:48:39Z</vt:lpwstr>
  </property>
  <property fmtid="{D5CDD505-2E9C-101B-9397-08002B2CF9AE}" pid="4" name="MSIP_Label_6b615819-ba40-4aaf-a034-39fd1d37cddf_Method">
    <vt:lpwstr>Standard</vt:lpwstr>
  </property>
  <property fmtid="{D5CDD505-2E9C-101B-9397-08002B2CF9AE}" pid="5" name="MSIP_Label_6b615819-ba40-4aaf-a034-39fd1d37cddf_Name">
    <vt:lpwstr>defa4170-0d19-0005-0004-bc88714345d2</vt:lpwstr>
  </property>
  <property fmtid="{D5CDD505-2E9C-101B-9397-08002B2CF9AE}" pid="6" name="MSIP_Label_6b615819-ba40-4aaf-a034-39fd1d37cddf_SiteId">
    <vt:lpwstr>f9182dd7-4234-41fb-9e9c-dd20d493b548</vt:lpwstr>
  </property>
  <property fmtid="{D5CDD505-2E9C-101B-9397-08002B2CF9AE}" pid="7" name="MSIP_Label_6b615819-ba40-4aaf-a034-39fd1d37cddf_ActionId">
    <vt:lpwstr>68bc2f7e-66e1-4e38-98cf-43cd4917e3a6</vt:lpwstr>
  </property>
  <property fmtid="{D5CDD505-2E9C-101B-9397-08002B2CF9AE}" pid="8" name="MSIP_Label_6b615819-ba40-4aaf-a034-39fd1d37cddf_ContentBits">
    <vt:lpwstr>0</vt:lpwstr>
  </property>
</Properties>
</file>