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Users\2281126\Documents\GitHub\projet-de-session-5gd-a25-gr-e\"/>
    </mc:Choice>
  </mc:AlternateContent>
  <xr:revisionPtr revIDLastSave="0" documentId="13_ncr:1_{B8B74B68-E30C-4B73-A8C4-50462ED4F44C}" xr6:coauthVersionLast="47" xr6:coauthVersionMax="47" xr10:uidLastSave="{00000000-0000-0000-0000-000000000000}"/>
  <bookViews>
    <workbookView xWindow="-120" yWindow="-120" windowWidth="29040" windowHeight="15720" activeTab="2" xr2:uid="{6BF6013A-4C68-4CEF-BF49-8F7071437FDB}"/>
  </bookViews>
  <sheets>
    <sheet name="Sprint1" sheetId="1" r:id="rId1"/>
    <sheet name="Sprint2" sheetId="2" r:id="rId2"/>
    <sheet name="Sprint3" sheetId="4"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4" l="1"/>
  <c r="M16" i="4" s="1"/>
  <c r="L15" i="4"/>
  <c r="M15" i="4" s="1"/>
  <c r="L9" i="4"/>
  <c r="L8" i="4"/>
  <c r="L5" i="4"/>
  <c r="L12" i="4" s="1"/>
  <c r="L4" i="4"/>
  <c r="L11" i="4" s="1"/>
  <c r="L3" i="4"/>
  <c r="L2" i="4"/>
  <c r="L2" i="1"/>
  <c r="L16" i="2" l="1"/>
  <c r="L15" i="2"/>
  <c r="L9" i="2"/>
  <c r="L8" i="2"/>
  <c r="L5" i="2"/>
  <c r="L12" i="2" s="1"/>
  <c r="L4" i="2"/>
  <c r="L11" i="2" s="1"/>
  <c r="L3" i="2"/>
  <c r="L2" i="2"/>
  <c r="L16" i="1"/>
  <c r="L15" i="1"/>
  <c r="L9" i="1"/>
  <c r="L8" i="1"/>
  <c r="L5" i="1"/>
  <c r="L12" i="1" s="1"/>
  <c r="L3" i="1"/>
  <c r="L4" i="1"/>
  <c r="L11" i="1" s="1"/>
  <c r="M15" i="2" l="1"/>
  <c r="M16" i="2"/>
  <c r="M15" i="1"/>
  <c r="M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1436BC68-6862-4DA3-AE73-44AC3E642BA5}">
      <text>
        <r>
          <rPr>
            <sz val="9"/>
            <color indexed="81"/>
            <rFont val="Tahoma"/>
            <charset val="1"/>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G3" authorId="0" shapeId="0" xr:uid="{55FB5F07-C4FD-43A5-B9B8-014378EB64E4}">
      <text>
        <r>
          <rPr>
            <sz val="9"/>
            <color indexed="81"/>
            <rFont val="Tahoma"/>
            <charset val="1"/>
          </rPr>
          <t>Indiquer X (majuscule) si l'item est conforme à la Définition de Terminé</t>
        </r>
      </text>
    </comment>
    <comment ref="H3" authorId="0" shapeId="0" xr:uid="{1F37F235-0DAD-4706-AAD6-EB528448AC98}">
      <text>
        <r>
          <rPr>
            <sz val="9"/>
            <color indexed="81"/>
            <rFont val="Tahoma"/>
            <charset val="1"/>
          </rPr>
          <t>Le nombre de jours entre le début et la fin du travail sur cet item (minimum 1)</t>
        </r>
      </text>
    </comment>
    <comment ref="I3" authorId="0" shapeId="0" xr:uid="{3D1EC365-15D5-4AD8-AE26-96600E8AB048}">
      <text>
        <r>
          <rPr>
            <sz val="9"/>
            <color indexed="81"/>
            <rFont val="Tahoma"/>
            <charset val="1"/>
          </rPr>
          <t>Nombre de jours depuis le début du travail sur cet item (minimum 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8933BABB-7FD9-4613-B561-EB44999E4236}">
      <text>
        <r>
          <rPr>
            <sz val="9"/>
            <color indexed="81"/>
            <rFont val="Tahoma"/>
            <charset val="1"/>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G3" authorId="0" shapeId="0" xr:uid="{F1359BC1-25E1-4C40-96CC-E179D96F1494}">
      <text>
        <r>
          <rPr>
            <sz val="9"/>
            <color indexed="81"/>
            <rFont val="Tahoma"/>
            <charset val="1"/>
          </rPr>
          <t>Indiquer X (majuscule) si l'item est conforme à la Définition de Terminé</t>
        </r>
      </text>
    </comment>
    <comment ref="H3" authorId="0" shapeId="0" xr:uid="{2A3F4C6D-7D37-46DB-A6F9-4E2434F38367}">
      <text>
        <r>
          <rPr>
            <sz val="9"/>
            <color indexed="81"/>
            <rFont val="Tahoma"/>
            <charset val="1"/>
          </rPr>
          <t>Le nombre de jours entre le début et la fin du travail sur cet item (minimum 1)</t>
        </r>
      </text>
    </comment>
    <comment ref="I3" authorId="0" shapeId="0" xr:uid="{EBA69CED-958B-4718-B0E9-D475A1E55CED}">
      <text>
        <r>
          <rPr>
            <sz val="9"/>
            <color indexed="81"/>
            <rFont val="Tahoma"/>
            <charset val="1"/>
          </rPr>
          <t>Nombre de jours depuis le début du travail sur cet item (minimum 1)</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2D2E4ED3-38E9-4079-8854-EB420CC832F1}">
      <text>
        <r>
          <rPr>
            <sz val="9"/>
            <color indexed="81"/>
            <rFont val="Tahoma"/>
            <charset val="1"/>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G3" authorId="0" shapeId="0" xr:uid="{B713B9E9-E707-4DE1-AC68-01F7B1C0515A}">
      <text>
        <r>
          <rPr>
            <sz val="9"/>
            <color indexed="81"/>
            <rFont val="Tahoma"/>
            <charset val="1"/>
          </rPr>
          <t>Indiquer X (majuscule) si l'item est conforme à la Définition de Terminé</t>
        </r>
      </text>
    </comment>
    <comment ref="H3" authorId="0" shapeId="0" xr:uid="{F5D980EA-2B07-4BB8-92B6-EF444F3FFE95}">
      <text>
        <r>
          <rPr>
            <sz val="9"/>
            <color indexed="81"/>
            <rFont val="Tahoma"/>
            <charset val="1"/>
          </rPr>
          <t>Le nombre de jours entre le début et la fin du travail sur cet item (minimum 1)</t>
        </r>
      </text>
    </comment>
    <comment ref="I3" authorId="0" shapeId="0" xr:uid="{5AAC720F-4F57-4AF8-B8E8-633026B74B70}">
      <text>
        <r>
          <rPr>
            <sz val="9"/>
            <color indexed="81"/>
            <rFont val="Tahoma"/>
            <charset val="1"/>
          </rPr>
          <t>Nombre de jours depuis le début du travail sur cet item (minimum 1)</t>
        </r>
      </text>
    </comment>
  </commentList>
</comments>
</file>

<file path=xl/sharedStrings.xml><?xml version="1.0" encoding="utf-8"?>
<sst xmlns="http://schemas.openxmlformats.org/spreadsheetml/2006/main" count="247" uniqueCount="77">
  <si>
    <t>Item planifié</t>
  </si>
  <si>
    <t>Terminé</t>
  </si>
  <si>
    <t>Objectif de sprint:</t>
  </si>
  <si>
    <t>Métriques de sprint</t>
  </si>
  <si>
    <t>Période de cours</t>
  </si>
  <si>
    <t>Temps de cycle</t>
  </si>
  <si>
    <t>Âge</t>
  </si>
  <si>
    <t>S'authentifier avec son compte usager</t>
  </si>
  <si>
    <t>Récit</t>
  </si>
  <si>
    <t>Tâche</t>
  </si>
  <si>
    <t>Temps de cycle moyen (récits)</t>
  </si>
  <si>
    <t>Temps de cycle moyen (tâches)</t>
  </si>
  <si>
    <t>Récits terminés</t>
  </si>
  <si>
    <t>Nombre de récits planifiés</t>
  </si>
  <si>
    <t>Nombre de tâches planifiées</t>
  </si>
  <si>
    <t>Tâches terminées</t>
  </si>
  <si>
    <t>Débit récits (sur 14 jours)</t>
  </si>
  <si>
    <t>Débit tâches (sur 14 jours)</t>
  </si>
  <si>
    <t>Indice de contribution</t>
  </si>
  <si>
    <t>Type (Saga/Récit/Tâche)</t>
  </si>
  <si>
    <t>Livraison</t>
  </si>
  <si>
    <t>Suivi de projet</t>
  </si>
  <si>
    <t>Faits saillants du daily Scrum</t>
  </si>
  <si>
    <t>Absent</t>
  </si>
  <si>
    <t>Revue</t>
  </si>
  <si>
    <t>Priorités pour le prochain sprint</t>
  </si>
  <si>
    <t>Changements aux objectifs / besoins</t>
  </si>
  <si>
    <t>Rétrospective</t>
  </si>
  <si>
    <t>Points forts</t>
  </si>
  <si>
    <t>Points à améliorer</t>
  </si>
  <si>
    <t>Mesure d'amélioration pour le prochain sprint</t>
  </si>
  <si>
    <t>Bilan de la mesure d'amélioration du sprint courant</t>
  </si>
  <si>
    <t>Membre 1</t>
  </si>
  <si>
    <t>Membre 2</t>
  </si>
  <si>
    <r>
      <rPr>
        <b/>
        <sz val="11"/>
        <color rgb="FF3F3F76"/>
        <rFont val="Aptos Narrow"/>
        <family val="2"/>
        <scheme val="minor"/>
      </rPr>
      <t>Progrès accomplis:</t>
    </r>
    <r>
      <rPr>
        <sz val="11"/>
        <color rgb="FF3F3F76"/>
        <rFont val="Aptos Narrow"/>
        <family val="2"/>
        <scheme val="minor"/>
      </rPr>
      <t xml:space="preserve"> Terminé la conception de l'interfaceUI.                   </t>
    </r>
    <r>
      <rPr>
        <b/>
        <sz val="11"/>
        <color rgb="FF3F3F76"/>
        <rFont val="Aptos Narrow"/>
        <family val="2"/>
        <scheme val="minor"/>
      </rPr>
      <t>Objectifs pour la journée :</t>
    </r>
    <r>
      <rPr>
        <sz val="11"/>
        <color rgb="FF3F3F76"/>
        <rFont val="Aptos Narrow"/>
        <family val="2"/>
        <scheme val="minor"/>
      </rPr>
      <t xml:space="preserve">Implémenter les tests UI.            </t>
    </r>
    <r>
      <rPr>
        <b/>
        <sz val="11"/>
        <color rgb="FF3F3F76"/>
        <rFont val="Aptos Narrow"/>
        <family val="2"/>
        <scheme val="minor"/>
      </rPr>
      <t>Obstacles rencontrés:</t>
    </r>
    <r>
      <rPr>
        <sz val="11"/>
        <color rgb="FF3F3F76"/>
        <rFont val="Aptos Narrow"/>
        <family val="2"/>
        <scheme val="minor"/>
      </rPr>
      <t xml:space="preserve">Problème avec la bibliothèque graphique.  </t>
    </r>
    <r>
      <rPr>
        <b/>
        <sz val="11"/>
        <color rgb="FF3F3F76"/>
        <rFont val="Aptos Narrow"/>
        <family val="2"/>
        <scheme val="minor"/>
      </rPr>
      <t>Actions Suivantes:</t>
    </r>
    <r>
      <rPr>
        <sz val="11"/>
        <color rgb="FF3F3F76"/>
        <rFont val="Aptos Narrow"/>
        <family val="2"/>
        <scheme val="minor"/>
      </rPr>
      <t xml:space="preserve"> aide de l'enseignant.</t>
    </r>
  </si>
  <si>
    <t>Boris</t>
  </si>
  <si>
    <t>Emile</t>
  </si>
  <si>
    <t>-</t>
  </si>
  <si>
    <t xml:space="preserve"> Animation du vendeur de poisson</t>
  </si>
  <si>
    <t xml:space="preserve"> Animation du vendeur d'armes</t>
  </si>
  <si>
    <t>Saga</t>
  </si>
  <si>
    <t xml:space="preserve">Mise en place </t>
  </si>
  <si>
    <t>Avoir un projet Unity fonctionnel afin de commencer le développement</t>
  </si>
  <si>
    <t>Base visuelle et environnement</t>
  </si>
  <si>
    <t>X</t>
  </si>
  <si>
    <t>Avoir un marché médiéval de base</t>
  </si>
  <si>
    <t>Prototype UI</t>
  </si>
  <si>
    <t>Hiérarchie d'interface de base</t>
  </si>
  <si>
    <t>Prototype PNJ</t>
  </si>
  <si>
    <t>Avoir une NavMesh et des agents fonctionels</t>
  </si>
  <si>
    <t xml:space="preserve">  Importation de la scène Low-Poly Medieval Market de base</t>
  </si>
  <si>
    <t xml:space="preserve">  Ajout de colliders de base sur la map</t>
  </si>
  <si>
    <t xml:space="preserve">  Ajout d’un gitignore adapté Unity</t>
  </si>
  <si>
    <t xml:space="preserve">  Organisation initiale du dépôt et des dossiers</t>
  </si>
  <si>
    <t xml:space="preserve">  Création d’un Canvas </t>
  </si>
  <si>
    <t xml:space="preserve">  TextMeshPro basique pour le compteur de pièces</t>
  </si>
  <si>
    <t xml:space="preserve">  Importation TextMeshPro</t>
  </si>
  <si>
    <t xml:space="preserve">  Création du repo GitHub + projet Unity </t>
  </si>
  <si>
    <t>x</t>
  </si>
  <si>
    <t xml:space="preserve">  Ajout des NavMeshObstacles et Bake</t>
  </si>
  <si>
    <t xml:space="preserve">  Ajout d'un agent pour test</t>
  </si>
  <si>
    <t xml:space="preserve">  Creation d'un script "Wandering" pour le mouvement aléatoire</t>
  </si>
  <si>
    <t>Stabilisation et organisation du projet</t>
  </si>
  <si>
    <t>Dépôt bien organisé et fonctionnel afin d’éviter les conflits</t>
  </si>
  <si>
    <t xml:space="preserve">  Réorganisation dossiers</t>
  </si>
  <si>
    <t xml:space="preserve">  Séparation des assets / scènes </t>
  </si>
  <si>
    <t xml:space="preserve">  Correction du .gitignore pour éviter push de gros fichiers </t>
  </si>
  <si>
    <t xml:space="preserve">  Migration Unity (2022 → 6000) et compatibilité </t>
  </si>
  <si>
    <t>Decoration visuelle du magasin du joueur</t>
  </si>
  <si>
    <t>Decoration du magasin pour mieux comprendre le role du vendeur</t>
  </si>
  <si>
    <t xml:space="preserve">  Placement d’objets (livres, fioles, baguettes, boule de cristal)</t>
  </si>
  <si>
    <t>Animation des magasins</t>
  </si>
  <si>
    <t>Avoir des animations pour rendre le marche plus vivant</t>
  </si>
  <si>
    <t xml:space="preserve">  Animations du PNJ "Mushroom Man"</t>
  </si>
  <si>
    <t>Émile</t>
  </si>
  <si>
    <r>
      <rPr>
        <b/>
        <sz val="11"/>
        <color rgb="FF3F3F76"/>
        <rFont val="Aptos Narrow"/>
        <family val="2"/>
        <scheme val="minor"/>
      </rPr>
      <t>Progrès accomplis:</t>
    </r>
    <r>
      <rPr>
        <sz val="11"/>
        <color rgb="FF3F3F76"/>
        <rFont val="Aptos Narrow"/>
        <family val="2"/>
        <scheme val="minor"/>
      </rPr>
      <t xml:space="preserve"> Travail Sprint.                   </t>
    </r>
    <r>
      <rPr>
        <b/>
        <sz val="11"/>
        <color rgb="FF3F3F76"/>
        <rFont val="Aptos Narrow"/>
        <family val="2"/>
        <scheme val="minor"/>
      </rPr>
      <t>Objectifs pour la journée : Finir Sprint1 et Sprint2 equipe e</t>
    </r>
    <r>
      <rPr>
        <sz val="11"/>
        <color rgb="FF3F3F76"/>
        <rFont val="Aptos Narrow"/>
        <family val="2"/>
        <scheme val="minor"/>
      </rPr>
      <t xml:space="preserve">t pull Git            </t>
    </r>
    <r>
      <rPr>
        <b/>
        <sz val="11"/>
        <color rgb="FF3F3F76"/>
        <rFont val="Aptos Narrow"/>
        <family val="2"/>
        <scheme val="minor"/>
      </rPr>
      <t>Obstacles rencontrés:Erreurs de build des packages Unity</t>
    </r>
    <r>
      <rPr>
        <sz val="11"/>
        <color rgb="FF3F3F76"/>
        <rFont val="Aptos Narrow"/>
        <family val="2"/>
        <scheme val="minor"/>
      </rPr>
      <t xml:space="preserve"> </t>
    </r>
  </si>
  <si>
    <r>
      <rPr>
        <b/>
        <sz val="11"/>
        <color rgb="FF3F3F76"/>
        <rFont val="Aptos Narrow"/>
        <family val="2"/>
        <scheme val="minor"/>
      </rPr>
      <t>Progrès accomplis:</t>
    </r>
    <r>
      <rPr>
        <sz val="11"/>
        <color rgb="FF3F3F76"/>
        <rFont val="Aptos Narrow"/>
        <family val="2"/>
        <scheme val="minor"/>
      </rPr>
      <t xml:space="preserve"> Travail Sprint.                   </t>
    </r>
    <r>
      <rPr>
        <b/>
        <sz val="11"/>
        <color rgb="FF3F3F76"/>
        <rFont val="Aptos Narrow"/>
        <family val="2"/>
        <scheme val="minor"/>
      </rPr>
      <t>Objectifs pour la journée : Finir Sprint1 et Sprint2 equipe</t>
    </r>
    <r>
      <rPr>
        <sz val="11"/>
        <color rgb="FF3F3F76"/>
        <rFont val="Aptos Narrow"/>
        <family val="2"/>
        <scheme val="minor"/>
      </rPr>
      <t xml:space="preserve">.            </t>
    </r>
    <r>
      <rPr>
        <b/>
        <sz val="11"/>
        <color rgb="FF3F3F76"/>
        <rFont val="Aptos Narrow"/>
        <family val="2"/>
        <scheme val="minor"/>
      </rPr>
      <t>Obstacles rencontrés:</t>
    </r>
    <r>
      <rPr>
        <sz val="11"/>
        <color rgb="FF3F3F76"/>
        <rFont val="Aptos Narrow"/>
        <family val="2"/>
        <scheme val="minor"/>
      </rPr>
      <t xml:space="preserve">Memorisation de l'ordre des tâches.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</si>
</sst>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b/>
      <sz val="13"/>
      <color theme="3"/>
      <name val="Aptos Narrow"/>
      <family val="2"/>
      <scheme val="minor"/>
    </font>
    <font>
      <b/>
      <sz val="11"/>
      <color theme="3"/>
      <name val="Aptos Narrow"/>
      <family val="2"/>
      <scheme val="minor"/>
    </font>
    <font>
      <sz val="11"/>
      <color rgb="FF3F3F76"/>
      <name val="Aptos Narrow"/>
      <family val="2"/>
      <scheme val="minor"/>
    </font>
    <font>
      <b/>
      <sz val="11"/>
      <color rgb="FFFA7D00"/>
      <name val="Aptos Narrow"/>
      <family val="2"/>
      <scheme val="minor"/>
    </font>
    <font>
      <b/>
      <sz val="11"/>
      <color theme="1"/>
      <name val="Aptos Narrow"/>
      <family val="2"/>
      <scheme val="minor"/>
    </font>
    <font>
      <sz val="9"/>
      <color indexed="81"/>
      <name val="Tahoma"/>
      <charset val="1"/>
    </font>
    <font>
      <b/>
      <sz val="11"/>
      <color rgb="FF3F3F76"/>
      <name val="Aptos Narrow"/>
      <family val="2"/>
      <scheme val="minor"/>
    </font>
    <font>
      <sz val="12"/>
      <color theme="1"/>
      <name val="Aptos"/>
      <family val="2"/>
    </font>
    <font>
      <sz val="12"/>
      <color theme="1"/>
      <name val="Aptos Narrow"/>
      <family val="2"/>
      <scheme val="minor"/>
    </font>
    <font>
      <sz val="12"/>
      <color rgb="FF000000"/>
      <name val="Aptos Narrow"/>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7">
    <border>
      <left/>
      <right/>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s>
  <cellStyleXfs count="5">
    <xf numFmtId="0" fontId="0" fillId="0" borderId="0"/>
    <xf numFmtId="0" fontId="1" fillId="0" borderId="1" applyNumberFormat="0" applyFill="0" applyAlignment="0" applyProtection="0"/>
    <xf numFmtId="0" fontId="2" fillId="0" borderId="2" applyNumberFormat="0" applyFill="0" applyAlignment="0" applyProtection="0"/>
    <xf numFmtId="0" fontId="3" fillId="2" borderId="3" applyNumberFormat="0" applyAlignment="0" applyProtection="0"/>
    <xf numFmtId="0" fontId="4" fillId="3" borderId="3" applyNumberFormat="0" applyAlignment="0" applyProtection="0"/>
  </cellStyleXfs>
  <cellXfs count="24">
    <xf numFmtId="0" fontId="0" fillId="0" borderId="0" xfId="0"/>
    <xf numFmtId="0" fontId="3" fillId="2" borderId="3" xfId="3"/>
    <xf numFmtId="0" fontId="0" fillId="0" borderId="0" xfId="0" applyAlignment="1">
      <alignment horizontal="center"/>
    </xf>
    <xf numFmtId="0" fontId="3" fillId="2" borderId="3" xfId="3" applyAlignment="1">
      <alignment horizontal="center"/>
    </xf>
    <xf numFmtId="9" fontId="3" fillId="2" borderId="3" xfId="3" applyNumberFormat="1" applyAlignment="1">
      <alignment horizontal="center"/>
    </xf>
    <xf numFmtId="0" fontId="3" fillId="2" borderId="3" xfId="3" applyAlignment="1">
      <alignment horizontal="left"/>
    </xf>
    <xf numFmtId="0" fontId="4" fillId="3" borderId="3" xfId="4"/>
    <xf numFmtId="9" fontId="4" fillId="3" borderId="3" xfId="4" applyNumberFormat="1"/>
    <xf numFmtId="0" fontId="3" fillId="2" borderId="3" xfId="3" applyAlignment="1">
      <alignment wrapText="1"/>
    </xf>
    <xf numFmtId="0" fontId="1" fillId="0" borderId="1" xfId="1"/>
    <xf numFmtId="0" fontId="2" fillId="0" borderId="2" xfId="2"/>
    <xf numFmtId="0" fontId="3" fillId="2" borderId="3" xfId="3" applyAlignment="1">
      <alignment vertical="top" wrapText="1"/>
    </xf>
    <xf numFmtId="0" fontId="0" fillId="0" borderId="0" xfId="0" applyAlignment="1">
      <alignment vertical="top"/>
    </xf>
    <xf numFmtId="0" fontId="8" fillId="0" borderId="0" xfId="0" applyFont="1"/>
    <xf numFmtId="0" fontId="9" fillId="0" borderId="0" xfId="0" applyFont="1"/>
    <xf numFmtId="0" fontId="3" fillId="2" borderId="3" xfId="3" applyAlignment="1">
      <alignment vertical="top"/>
    </xf>
    <xf numFmtId="0" fontId="3" fillId="2" borderId="3" xfId="3" applyAlignment="1">
      <alignment horizontal="center" vertical="top"/>
    </xf>
    <xf numFmtId="0" fontId="3" fillId="2" borderId="3" xfId="3" applyAlignment="1">
      <alignment vertical="top"/>
    </xf>
    <xf numFmtId="0" fontId="5" fillId="0" borderId="0" xfId="0" applyFont="1"/>
    <xf numFmtId="0" fontId="5" fillId="0" borderId="0" xfId="0" applyFont="1" applyAlignment="1">
      <alignment horizontal="center"/>
    </xf>
    <xf numFmtId="0" fontId="3" fillId="2" borderId="4" xfId="3" applyBorder="1" applyAlignment="1">
      <alignment horizontal="center" vertical="top"/>
    </xf>
    <xf numFmtId="0" fontId="3" fillId="2" borderId="5" xfId="3" applyBorder="1" applyAlignment="1">
      <alignment horizontal="center" vertical="top"/>
    </xf>
    <xf numFmtId="0" fontId="3" fillId="2" borderId="6" xfId="3" applyBorder="1" applyAlignment="1">
      <alignment horizontal="center" vertical="top"/>
    </xf>
    <xf numFmtId="0" fontId="10" fillId="0" borderId="0" xfId="0" applyFont="1"/>
  </cellXfs>
  <cellStyles count="5">
    <cellStyle name="Calcul" xfId="4" builtinId="22"/>
    <cellStyle name="Entrée" xfId="3" builtinId="20"/>
    <cellStyle name="Normal" xfId="0" builtinId="0"/>
    <cellStyle name="Titre 2" xfId="1" builtinId="17"/>
    <cellStyle name="Titre 3" xfId="2" builtinId="1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47C8C-BB64-4187-92AA-6B5ED698724D}">
  <dimension ref="A1:O39"/>
  <sheetViews>
    <sheetView zoomScale="85" zoomScaleNormal="85" workbookViewId="0">
      <selection activeCell="L23" sqref="L23:L24"/>
    </sheetView>
  </sheetViews>
  <sheetFormatPr baseColWidth="10" defaultColWidth="8.85546875" defaultRowHeight="15" x14ac:dyDescent="0.25"/>
  <cols>
    <col min="1" max="1" width="67.5703125" customWidth="1"/>
    <col min="2" max="2" width="21.85546875" bestFit="1" customWidth="1"/>
    <col min="3" max="6" width="10.28515625" customWidth="1"/>
    <col min="7" max="7" width="8.140625" style="2" bestFit="1" customWidth="1"/>
    <col min="8" max="8" width="14.42578125" bestFit="1" customWidth="1"/>
    <col min="9" max="9" width="14.42578125" customWidth="1"/>
    <col min="11" max="11" width="47.5703125" bestFit="1" customWidth="1"/>
    <col min="12" max="12" width="30" customWidth="1"/>
    <col min="13" max="14" width="26.7109375" customWidth="1"/>
    <col min="15" max="15" width="29.28515625" customWidth="1"/>
  </cols>
  <sheetData>
    <row r="1" spans="1:13" ht="18" thickBot="1" x14ac:dyDescent="0.35">
      <c r="A1" t="s">
        <v>2</v>
      </c>
      <c r="B1" s="18" t="s">
        <v>7</v>
      </c>
      <c r="C1" s="18"/>
      <c r="D1" s="18"/>
      <c r="E1" s="18"/>
      <c r="F1" s="18"/>
      <c r="G1" s="18"/>
      <c r="H1" s="18"/>
      <c r="I1" s="18"/>
      <c r="K1" s="9" t="s">
        <v>3</v>
      </c>
    </row>
    <row r="2" spans="1:13" ht="15.75" thickTop="1" x14ac:dyDescent="0.25">
      <c r="K2" t="s">
        <v>10</v>
      </c>
      <c r="L2" s="6">
        <f>AVERAGEIFS(H:H,G:G, "X", B:B, "Récit")</f>
        <v>1.3333333333333333</v>
      </c>
    </row>
    <row r="3" spans="1:13" x14ac:dyDescent="0.25">
      <c r="A3" s="2" t="s">
        <v>0</v>
      </c>
      <c r="B3" s="2" t="s">
        <v>19</v>
      </c>
      <c r="C3" s="2" t="s">
        <v>35</v>
      </c>
      <c r="D3" s="2" t="s">
        <v>36</v>
      </c>
      <c r="E3" s="2" t="s">
        <v>37</v>
      </c>
      <c r="F3" s="2" t="s">
        <v>37</v>
      </c>
      <c r="G3" s="2" t="s">
        <v>1</v>
      </c>
      <c r="H3" s="2" t="s">
        <v>5</v>
      </c>
      <c r="I3" s="2" t="s">
        <v>6</v>
      </c>
      <c r="K3" t="s">
        <v>11</v>
      </c>
      <c r="L3" s="6">
        <f>AVERAGEIFS(H:H,G:G, "X", B:B, "Tâche")</f>
        <v>1.125</v>
      </c>
    </row>
    <row r="4" spans="1:13" ht="15.75" x14ac:dyDescent="0.25">
      <c r="A4" s="14" t="s">
        <v>41</v>
      </c>
      <c r="B4" s="3" t="s">
        <v>40</v>
      </c>
      <c r="C4" s="4"/>
      <c r="D4" s="4"/>
      <c r="E4" s="4"/>
      <c r="F4" s="4"/>
      <c r="G4" s="3"/>
      <c r="H4" s="5"/>
      <c r="I4" s="5"/>
      <c r="K4" t="s">
        <v>16</v>
      </c>
      <c r="L4" s="6">
        <f>COUNTIFS(G:G, "X", B:B, "Récit")</f>
        <v>3</v>
      </c>
    </row>
    <row r="5" spans="1:13" ht="15.75" x14ac:dyDescent="0.25">
      <c r="A5" s="14" t="s">
        <v>42</v>
      </c>
      <c r="B5" s="3" t="s">
        <v>8</v>
      </c>
      <c r="C5" s="4"/>
      <c r="D5" s="4"/>
      <c r="E5" s="4"/>
      <c r="F5" s="4"/>
      <c r="G5" s="3" t="s">
        <v>58</v>
      </c>
      <c r="H5" s="1">
        <v>1</v>
      </c>
      <c r="I5" s="1"/>
      <c r="K5" t="s">
        <v>17</v>
      </c>
      <c r="L5" s="6">
        <f>COUNTIFS(G:G, "X", B:B, "Tâche")</f>
        <v>8</v>
      </c>
    </row>
    <row r="6" spans="1:13" ht="15.75" x14ac:dyDescent="0.25">
      <c r="A6" s="14" t="s">
        <v>57</v>
      </c>
      <c r="B6" s="3" t="s">
        <v>9</v>
      </c>
      <c r="C6" s="4"/>
      <c r="D6" s="4">
        <v>1</v>
      </c>
      <c r="E6" s="4"/>
      <c r="F6" s="4"/>
      <c r="G6" s="3" t="s">
        <v>44</v>
      </c>
      <c r="H6" s="1">
        <v>1</v>
      </c>
      <c r="I6" s="1"/>
    </row>
    <row r="7" spans="1:13" ht="16.5" thickBot="1" x14ac:dyDescent="0.3">
      <c r="A7" s="14" t="s">
        <v>52</v>
      </c>
      <c r="B7" s="3" t="s">
        <v>9</v>
      </c>
      <c r="C7" s="4">
        <v>0.4</v>
      </c>
      <c r="D7" s="4">
        <v>0.6</v>
      </c>
      <c r="E7" s="4"/>
      <c r="F7" s="4"/>
      <c r="G7" s="3" t="s">
        <v>44</v>
      </c>
      <c r="H7" s="1">
        <v>1</v>
      </c>
      <c r="I7" s="1"/>
      <c r="K7" s="10" t="s">
        <v>20</v>
      </c>
    </row>
    <row r="8" spans="1:13" ht="15.75" x14ac:dyDescent="0.25">
      <c r="A8" s="14" t="s">
        <v>53</v>
      </c>
      <c r="B8" s="3" t="s">
        <v>9</v>
      </c>
      <c r="C8" s="4">
        <v>0.9</v>
      </c>
      <c r="D8" s="4">
        <v>0.1</v>
      </c>
      <c r="E8" s="4"/>
      <c r="F8" s="4"/>
      <c r="G8" s="3" t="s">
        <v>44</v>
      </c>
      <c r="H8" s="1">
        <v>1</v>
      </c>
      <c r="I8" s="1"/>
      <c r="K8" t="s">
        <v>13</v>
      </c>
      <c r="L8" s="6">
        <f>COUNTIF(B:B,"Récit")</f>
        <v>4</v>
      </c>
    </row>
    <row r="9" spans="1:13" ht="15.75" x14ac:dyDescent="0.25">
      <c r="A9" s="14" t="s">
        <v>43</v>
      </c>
      <c r="B9" s="3" t="s">
        <v>40</v>
      </c>
      <c r="C9" s="4"/>
      <c r="D9" s="4"/>
      <c r="E9" s="4"/>
      <c r="F9" s="4"/>
      <c r="G9" s="3"/>
      <c r="H9" s="1"/>
      <c r="I9" s="1"/>
      <c r="K9" t="s">
        <v>14</v>
      </c>
      <c r="L9" s="6">
        <f>COUNTIF(B:B, "Tâche")</f>
        <v>10</v>
      </c>
    </row>
    <row r="10" spans="1:13" ht="15.75" x14ac:dyDescent="0.25">
      <c r="A10" s="14" t="s">
        <v>45</v>
      </c>
      <c r="B10" s="3" t="s">
        <v>8</v>
      </c>
      <c r="C10" s="4"/>
      <c r="D10" s="4"/>
      <c r="E10" s="4"/>
      <c r="F10" s="4"/>
      <c r="G10" s="3" t="s">
        <v>58</v>
      </c>
      <c r="H10" s="1">
        <v>2</v>
      </c>
      <c r="I10" s="1"/>
    </row>
    <row r="11" spans="1:13" ht="15.75" x14ac:dyDescent="0.25">
      <c r="A11" s="14" t="s">
        <v>50</v>
      </c>
      <c r="B11" s="3" t="s">
        <v>9</v>
      </c>
      <c r="C11" s="4"/>
      <c r="D11" s="4">
        <v>1</v>
      </c>
      <c r="E11" s="4"/>
      <c r="F11" s="4"/>
      <c r="G11" s="3" t="s">
        <v>44</v>
      </c>
      <c r="H11" s="1">
        <v>1</v>
      </c>
      <c r="I11" s="1"/>
      <c r="K11" t="s">
        <v>12</v>
      </c>
      <c r="L11" s="7">
        <f>L4/L8</f>
        <v>0.75</v>
      </c>
    </row>
    <row r="12" spans="1:13" ht="15.75" x14ac:dyDescent="0.25">
      <c r="A12" s="14" t="s">
        <v>51</v>
      </c>
      <c r="B12" s="3" t="s">
        <v>9</v>
      </c>
      <c r="C12" s="4"/>
      <c r="D12" s="4">
        <v>1</v>
      </c>
      <c r="E12" s="4"/>
      <c r="F12" s="4"/>
      <c r="G12" s="3" t="s">
        <v>44</v>
      </c>
      <c r="H12" s="1">
        <v>2</v>
      </c>
      <c r="I12" s="1"/>
      <c r="K12" t="s">
        <v>15</v>
      </c>
      <c r="L12" s="7">
        <f>L5/L9</f>
        <v>0.8</v>
      </c>
    </row>
    <row r="13" spans="1:13" ht="15.75" x14ac:dyDescent="0.25">
      <c r="A13" s="14" t="s">
        <v>46</v>
      </c>
      <c r="B13" s="3" t="s">
        <v>40</v>
      </c>
      <c r="C13" s="4"/>
      <c r="D13" s="4"/>
      <c r="E13" s="4"/>
      <c r="F13" s="4"/>
      <c r="G13" s="3"/>
      <c r="H13" s="1"/>
      <c r="I13" s="1"/>
    </row>
    <row r="14" spans="1:13" ht="16.5" thickBot="1" x14ac:dyDescent="0.3">
      <c r="A14" s="14" t="s">
        <v>47</v>
      </c>
      <c r="B14" s="3" t="s">
        <v>8</v>
      </c>
      <c r="C14" s="4"/>
      <c r="D14" s="4"/>
      <c r="E14" s="4"/>
      <c r="F14" s="4"/>
      <c r="G14" s="3" t="s">
        <v>58</v>
      </c>
      <c r="H14" s="1">
        <v>1</v>
      </c>
      <c r="I14" s="1"/>
      <c r="K14" s="10" t="s">
        <v>18</v>
      </c>
    </row>
    <row r="15" spans="1:13" ht="15.75" x14ac:dyDescent="0.25">
      <c r="A15" s="14" t="s">
        <v>54</v>
      </c>
      <c r="B15" s="3" t="s">
        <v>9</v>
      </c>
      <c r="C15" s="4">
        <v>1</v>
      </c>
      <c r="D15" s="4"/>
      <c r="E15" s="4"/>
      <c r="F15" s="4"/>
      <c r="G15" s="3" t="s">
        <v>44</v>
      </c>
      <c r="H15" s="1">
        <v>1</v>
      </c>
      <c r="I15" s="1"/>
      <c r="K15" t="s">
        <v>35</v>
      </c>
      <c r="L15" s="6">
        <f>SUMIFS(C:C,G:G,"X")</f>
        <v>4.3</v>
      </c>
      <c r="M15" s="7">
        <f>L15/SUM($L$15:$L$18)</f>
        <v>0.53749999999999998</v>
      </c>
    </row>
    <row r="16" spans="1:13" ht="15.75" x14ac:dyDescent="0.25">
      <c r="A16" s="14" t="s">
        <v>56</v>
      </c>
      <c r="B16" s="3" t="s">
        <v>9</v>
      </c>
      <c r="C16" s="4">
        <v>1</v>
      </c>
      <c r="D16" s="4"/>
      <c r="E16" s="4"/>
      <c r="F16" s="4"/>
      <c r="G16" s="3" t="s">
        <v>44</v>
      </c>
      <c r="H16" s="1">
        <v>1</v>
      </c>
      <c r="I16" s="1"/>
      <c r="K16" t="s">
        <v>36</v>
      </c>
      <c r="L16" s="6">
        <f>SUMIFS(D:D,G:G,"X")</f>
        <v>3.7</v>
      </c>
      <c r="M16" s="7">
        <f>L16/SUM($L$15:$L$18)</f>
        <v>0.46250000000000002</v>
      </c>
    </row>
    <row r="17" spans="1:15" ht="15.75" x14ac:dyDescent="0.25">
      <c r="A17" s="14" t="s">
        <v>55</v>
      </c>
      <c r="B17" s="3" t="s">
        <v>9</v>
      </c>
      <c r="C17" s="4">
        <v>1</v>
      </c>
      <c r="D17" s="4"/>
      <c r="E17" s="4"/>
      <c r="F17" s="4"/>
      <c r="G17" s="3" t="s">
        <v>44</v>
      </c>
      <c r="H17" s="1">
        <v>1</v>
      </c>
      <c r="I17" s="1"/>
    </row>
    <row r="18" spans="1:15" ht="15.75" x14ac:dyDescent="0.25">
      <c r="A18" s="14" t="s">
        <v>71</v>
      </c>
      <c r="B18" s="3" t="s">
        <v>40</v>
      </c>
      <c r="C18" s="4"/>
      <c r="D18" s="4"/>
      <c r="E18" s="4"/>
      <c r="F18" s="4"/>
      <c r="G18" s="3"/>
      <c r="H18" s="1"/>
      <c r="I18" s="1"/>
    </row>
    <row r="19" spans="1:15" ht="15.75" x14ac:dyDescent="0.25">
      <c r="A19" s="14" t="s">
        <v>72</v>
      </c>
      <c r="B19" s="3" t="s">
        <v>8</v>
      </c>
      <c r="C19" s="4"/>
      <c r="D19" s="4"/>
      <c r="E19" s="4"/>
      <c r="F19" s="4"/>
      <c r="G19" s="3"/>
      <c r="H19" s="1"/>
      <c r="I19" s="1"/>
    </row>
    <row r="20" spans="1:15" ht="18" thickBot="1" x14ac:dyDescent="0.35">
      <c r="A20" s="14" t="s">
        <v>38</v>
      </c>
      <c r="B20" s="3" t="s">
        <v>9</v>
      </c>
      <c r="C20" s="4">
        <v>1</v>
      </c>
      <c r="D20" s="4"/>
      <c r="E20" s="4"/>
      <c r="F20" s="4"/>
      <c r="G20" s="3"/>
      <c r="H20" s="1"/>
      <c r="I20" s="1"/>
      <c r="K20" s="9" t="s">
        <v>21</v>
      </c>
    </row>
    <row r="21" spans="1:15" ht="16.5" thickTop="1" x14ac:dyDescent="0.25">
      <c r="A21" s="14" t="s">
        <v>39</v>
      </c>
      <c r="B21" s="3" t="s">
        <v>9</v>
      </c>
      <c r="C21" s="4">
        <v>1</v>
      </c>
      <c r="D21" s="4"/>
      <c r="E21" s="4"/>
      <c r="F21" s="4"/>
      <c r="G21" s="3"/>
      <c r="H21" s="1"/>
      <c r="I21" s="1"/>
      <c r="L21" s="19" t="s">
        <v>4</v>
      </c>
      <c r="M21" s="19"/>
      <c r="N21" s="19"/>
      <c r="O21" s="19"/>
    </row>
    <row r="22" spans="1:15" ht="15.75" thickBot="1" x14ac:dyDescent="0.3">
      <c r="G22"/>
      <c r="K22" s="10" t="s">
        <v>22</v>
      </c>
      <c r="L22">
        <v>1</v>
      </c>
      <c r="M22">
        <v>2</v>
      </c>
      <c r="N22">
        <v>3</v>
      </c>
      <c r="O22">
        <v>4</v>
      </c>
    </row>
    <row r="23" spans="1:15" ht="127.15" customHeight="1" x14ac:dyDescent="0.25">
      <c r="G23"/>
      <c r="K23" s="12" t="s">
        <v>32</v>
      </c>
      <c r="L23" s="11"/>
      <c r="M23" s="8"/>
      <c r="N23" s="8"/>
      <c r="O23" s="8"/>
    </row>
    <row r="24" spans="1:15" ht="123.6" customHeight="1" x14ac:dyDescent="0.25">
      <c r="K24" s="12" t="s">
        <v>33</v>
      </c>
      <c r="L24" s="11"/>
      <c r="M24" s="8"/>
      <c r="N24" s="8"/>
      <c r="O24" s="8"/>
    </row>
    <row r="25" spans="1:15" ht="57" customHeight="1" x14ac:dyDescent="0.25"/>
    <row r="26" spans="1:15" ht="19.5" customHeight="1" thickBot="1" x14ac:dyDescent="0.3">
      <c r="K26" s="10" t="s">
        <v>24</v>
      </c>
    </row>
    <row r="27" spans="1:15" x14ac:dyDescent="0.25">
      <c r="K27" s="12" t="s">
        <v>25</v>
      </c>
      <c r="L27" s="20"/>
      <c r="M27" s="21"/>
      <c r="N27" s="21"/>
      <c r="O27" s="22"/>
    </row>
    <row r="28" spans="1:15" x14ac:dyDescent="0.25">
      <c r="K28" s="12" t="s">
        <v>26</v>
      </c>
      <c r="L28" s="20"/>
      <c r="M28" s="21"/>
      <c r="N28" s="21"/>
      <c r="O28" s="22"/>
    </row>
    <row r="30" spans="1:15" ht="15.75" thickBot="1" x14ac:dyDescent="0.3">
      <c r="K30" s="10" t="s">
        <v>27</v>
      </c>
    </row>
    <row r="31" spans="1:15" ht="44.45" customHeight="1" x14ac:dyDescent="0.25">
      <c r="K31" s="12" t="s">
        <v>28</v>
      </c>
      <c r="L31" s="20"/>
      <c r="M31" s="21"/>
      <c r="N31" s="21"/>
      <c r="O31" s="22"/>
    </row>
    <row r="32" spans="1:15" ht="45" customHeight="1" x14ac:dyDescent="0.25">
      <c r="K32" s="12" t="s">
        <v>29</v>
      </c>
      <c r="L32" s="17"/>
      <c r="M32" s="17"/>
      <c r="N32" s="17"/>
      <c r="O32" s="17"/>
    </row>
    <row r="33" spans="11:15" x14ac:dyDescent="0.25">
      <c r="K33" s="12" t="s">
        <v>30</v>
      </c>
      <c r="L33" s="17"/>
      <c r="M33" s="17"/>
      <c r="N33" s="17"/>
      <c r="O33" s="17"/>
    </row>
    <row r="34" spans="11:15" x14ac:dyDescent="0.25">
      <c r="K34" s="12"/>
      <c r="L34" s="12"/>
      <c r="M34" s="12"/>
      <c r="N34" s="12"/>
      <c r="O34" s="12"/>
    </row>
    <row r="35" spans="11:15" ht="31.15" customHeight="1" x14ac:dyDescent="0.25">
      <c r="K35" s="12" t="s">
        <v>31</v>
      </c>
      <c r="L35" s="17"/>
      <c r="M35" s="17"/>
      <c r="N35" s="17"/>
      <c r="O35" s="17"/>
    </row>
    <row r="36" spans="11:15" ht="30.6" customHeight="1" x14ac:dyDescent="0.25"/>
    <row r="37" spans="11:15" ht="31.15" customHeight="1" x14ac:dyDescent="0.25"/>
    <row r="39" spans="11:15" ht="31.15" customHeight="1" x14ac:dyDescent="0.25"/>
  </sheetData>
  <mergeCells count="8">
    <mergeCell ref="L32:O32"/>
    <mergeCell ref="L33:O33"/>
    <mergeCell ref="L35:O35"/>
    <mergeCell ref="B1:I1"/>
    <mergeCell ref="L21:O21"/>
    <mergeCell ref="L31:O31"/>
    <mergeCell ref="L27:O27"/>
    <mergeCell ref="L28:O28"/>
  </mergeCells>
  <pageMargins left="0.7" right="0.7" top="0.75" bottom="0.75" header="0.3" footer="0.3"/>
  <pageSetup orientation="portrait" horizontalDpi="4294967295" verticalDpi="4294967295"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BDB0FC-E645-4BFB-AF77-2211428F11BA}">
  <dimension ref="A1:O39"/>
  <sheetViews>
    <sheetView zoomScale="85" zoomScaleNormal="85" workbookViewId="0">
      <selection activeCell="A22" sqref="A22"/>
    </sheetView>
  </sheetViews>
  <sheetFormatPr baseColWidth="10" defaultColWidth="8.85546875" defaultRowHeight="15" x14ac:dyDescent="0.25"/>
  <cols>
    <col min="1" max="1" width="66.42578125" bestFit="1" customWidth="1"/>
    <col min="2" max="2" width="21.85546875" bestFit="1" customWidth="1"/>
    <col min="3" max="6" width="10.28515625" customWidth="1"/>
    <col min="7" max="7" width="8.140625" style="2" bestFit="1" customWidth="1"/>
    <col min="8" max="8" width="14.42578125" bestFit="1" customWidth="1"/>
    <col min="9" max="9" width="14.42578125" customWidth="1"/>
    <col min="11" max="11" width="47.5703125" bestFit="1" customWidth="1"/>
    <col min="12" max="12" width="30" customWidth="1"/>
    <col min="13" max="14" width="26.7109375" customWidth="1"/>
    <col min="15" max="15" width="29.28515625" customWidth="1"/>
  </cols>
  <sheetData>
    <row r="1" spans="1:13" ht="18" thickBot="1" x14ac:dyDescent="0.35">
      <c r="A1" t="s">
        <v>2</v>
      </c>
      <c r="B1" s="18" t="s">
        <v>7</v>
      </c>
      <c r="C1" s="18"/>
      <c r="D1" s="18"/>
      <c r="E1" s="18"/>
      <c r="F1" s="18"/>
      <c r="G1" s="18"/>
      <c r="H1" s="18"/>
      <c r="I1" s="18"/>
      <c r="K1" s="9" t="s">
        <v>3</v>
      </c>
    </row>
    <row r="2" spans="1:13" ht="15.75" thickTop="1" x14ac:dyDescent="0.25">
      <c r="K2" t="s">
        <v>10</v>
      </c>
      <c r="L2" s="6">
        <f>AVERAGEIFS(H:H,G:G, "X", B:B, "Récit")</f>
        <v>2.3333333333333335</v>
      </c>
    </row>
    <row r="3" spans="1:13" x14ac:dyDescent="0.25">
      <c r="A3" s="2" t="s">
        <v>0</v>
      </c>
      <c r="B3" s="2" t="s">
        <v>19</v>
      </c>
      <c r="C3" s="2" t="s">
        <v>35</v>
      </c>
      <c r="D3" s="2" t="s">
        <v>36</v>
      </c>
      <c r="E3" s="2" t="s">
        <v>37</v>
      </c>
      <c r="F3" s="2" t="s">
        <v>37</v>
      </c>
      <c r="G3" s="2" t="s">
        <v>1</v>
      </c>
      <c r="H3" s="2" t="s">
        <v>5</v>
      </c>
      <c r="I3" s="2" t="s">
        <v>6</v>
      </c>
      <c r="K3" t="s">
        <v>11</v>
      </c>
      <c r="L3" s="6">
        <f>AVERAGEIFS(H:H,G:G, "X", B:B, "Tâche")</f>
        <v>1.6363636363636365</v>
      </c>
    </row>
    <row r="4" spans="1:13" ht="15.75" x14ac:dyDescent="0.25">
      <c r="A4" s="23" t="s">
        <v>48</v>
      </c>
      <c r="B4" s="3" t="s">
        <v>40</v>
      </c>
      <c r="C4" s="4"/>
      <c r="D4" s="4"/>
      <c r="E4" s="4"/>
      <c r="F4" s="4"/>
      <c r="G4" s="3"/>
      <c r="H4" s="5"/>
      <c r="I4" s="5"/>
      <c r="K4" t="s">
        <v>16</v>
      </c>
      <c r="L4" s="6">
        <f>COUNTIFS(G:G, "X", B:B, "Récit")</f>
        <v>3</v>
      </c>
    </row>
    <row r="5" spans="1:13" ht="15.75" x14ac:dyDescent="0.25">
      <c r="A5" s="23" t="s">
        <v>49</v>
      </c>
      <c r="B5" s="3" t="s">
        <v>8</v>
      </c>
      <c r="C5" s="4"/>
      <c r="D5" s="4"/>
      <c r="E5" s="4"/>
      <c r="F5" s="4"/>
      <c r="G5" s="3" t="s">
        <v>58</v>
      </c>
      <c r="H5" s="1">
        <v>3</v>
      </c>
      <c r="I5" s="1"/>
      <c r="K5" t="s">
        <v>17</v>
      </c>
      <c r="L5" s="6">
        <f>COUNTIFS(G:G, "X", B:B, "Tâche")</f>
        <v>11</v>
      </c>
    </row>
    <row r="6" spans="1:13" ht="15.75" x14ac:dyDescent="0.25">
      <c r="A6" s="23" t="s">
        <v>59</v>
      </c>
      <c r="B6" s="3" t="s">
        <v>9</v>
      </c>
      <c r="C6" s="4"/>
      <c r="D6" s="4">
        <v>1</v>
      </c>
      <c r="E6" s="4"/>
      <c r="F6" s="4"/>
      <c r="G6" s="3" t="s">
        <v>58</v>
      </c>
      <c r="H6" s="1">
        <v>2</v>
      </c>
      <c r="I6" s="1"/>
    </row>
    <row r="7" spans="1:13" ht="16.5" thickBot="1" x14ac:dyDescent="0.3">
      <c r="A7" s="23" t="s">
        <v>60</v>
      </c>
      <c r="B7" s="3" t="s">
        <v>9</v>
      </c>
      <c r="C7" s="4"/>
      <c r="D7" s="4">
        <v>1</v>
      </c>
      <c r="E7" s="4"/>
      <c r="F7" s="4"/>
      <c r="G7" s="3" t="s">
        <v>58</v>
      </c>
      <c r="H7" s="1">
        <v>1</v>
      </c>
      <c r="I7" s="1"/>
      <c r="K7" s="10" t="s">
        <v>20</v>
      </c>
    </row>
    <row r="8" spans="1:13" ht="15.75" x14ac:dyDescent="0.25">
      <c r="A8" s="23" t="s">
        <v>61</v>
      </c>
      <c r="B8" s="3" t="s">
        <v>9</v>
      </c>
      <c r="C8" s="4"/>
      <c r="D8" s="4">
        <v>1</v>
      </c>
      <c r="E8" s="4"/>
      <c r="F8" s="4"/>
      <c r="G8" s="3" t="s">
        <v>58</v>
      </c>
      <c r="H8" s="1">
        <v>3</v>
      </c>
      <c r="I8" s="1"/>
      <c r="K8" t="s">
        <v>13</v>
      </c>
      <c r="L8" s="6">
        <f>COUNTIF(B:B,"Récit")</f>
        <v>4</v>
      </c>
    </row>
    <row r="9" spans="1:13" ht="15.75" x14ac:dyDescent="0.25">
      <c r="A9" s="14" t="s">
        <v>73</v>
      </c>
      <c r="B9" s="3" t="s">
        <v>9</v>
      </c>
      <c r="C9" s="4"/>
      <c r="D9" s="4">
        <v>1</v>
      </c>
      <c r="E9" s="4"/>
      <c r="F9" s="4"/>
      <c r="G9" s="3" t="s">
        <v>58</v>
      </c>
      <c r="H9" s="1">
        <v>2</v>
      </c>
      <c r="I9" s="1"/>
      <c r="K9" t="s">
        <v>14</v>
      </c>
      <c r="L9" s="6">
        <f>COUNTIF(B:B, "Tâche")</f>
        <v>11</v>
      </c>
    </row>
    <row r="10" spans="1:13" ht="15.75" x14ac:dyDescent="0.25">
      <c r="A10" s="14" t="s">
        <v>62</v>
      </c>
      <c r="B10" s="3" t="s">
        <v>40</v>
      </c>
      <c r="C10" s="4"/>
      <c r="D10" s="4"/>
      <c r="E10" s="4"/>
      <c r="F10" s="4"/>
      <c r="G10" s="3"/>
      <c r="H10" s="1"/>
      <c r="I10" s="1"/>
    </row>
    <row r="11" spans="1:13" ht="15.75" x14ac:dyDescent="0.25">
      <c r="A11" s="14" t="s">
        <v>63</v>
      </c>
      <c r="B11" s="3" t="s">
        <v>8</v>
      </c>
      <c r="C11" s="4"/>
      <c r="D11" s="4"/>
      <c r="E11" s="4"/>
      <c r="F11" s="4"/>
      <c r="G11" s="3" t="s">
        <v>58</v>
      </c>
      <c r="H11" s="1">
        <v>3</v>
      </c>
      <c r="I11" s="1"/>
      <c r="K11" t="s">
        <v>12</v>
      </c>
      <c r="L11" s="7">
        <f>L4/L8</f>
        <v>0.75</v>
      </c>
    </row>
    <row r="12" spans="1:13" ht="15.75" x14ac:dyDescent="0.25">
      <c r="A12" s="14" t="s">
        <v>64</v>
      </c>
      <c r="B12" s="3" t="s">
        <v>9</v>
      </c>
      <c r="C12" s="4">
        <v>1</v>
      </c>
      <c r="D12" s="4"/>
      <c r="E12" s="4"/>
      <c r="F12" s="4"/>
      <c r="G12" s="3" t="s">
        <v>58</v>
      </c>
      <c r="H12" s="1">
        <v>2</v>
      </c>
      <c r="I12" s="1"/>
      <c r="K12" t="s">
        <v>15</v>
      </c>
      <c r="L12" s="7">
        <f>L5/L9</f>
        <v>1</v>
      </c>
    </row>
    <row r="13" spans="1:13" ht="15.75" x14ac:dyDescent="0.25">
      <c r="A13" s="14" t="s">
        <v>65</v>
      </c>
      <c r="B13" s="3" t="s">
        <v>9</v>
      </c>
      <c r="C13" s="4">
        <v>1</v>
      </c>
      <c r="D13" s="4"/>
      <c r="E13" s="4"/>
      <c r="F13" s="4"/>
      <c r="G13" s="3" t="s">
        <v>58</v>
      </c>
      <c r="H13" s="1">
        <v>1</v>
      </c>
      <c r="I13" s="1"/>
    </row>
    <row r="14" spans="1:13" ht="16.5" thickBot="1" x14ac:dyDescent="0.3">
      <c r="A14" s="14" t="s">
        <v>66</v>
      </c>
      <c r="B14" s="3" t="s">
        <v>9</v>
      </c>
      <c r="C14" s="4">
        <v>1</v>
      </c>
      <c r="D14" s="4"/>
      <c r="E14" s="4"/>
      <c r="F14" s="4"/>
      <c r="G14" s="3" t="s">
        <v>58</v>
      </c>
      <c r="H14" s="1">
        <v>1</v>
      </c>
      <c r="I14" s="1"/>
      <c r="K14" s="10" t="s">
        <v>18</v>
      </c>
    </row>
    <row r="15" spans="1:13" ht="15.75" x14ac:dyDescent="0.25">
      <c r="A15" s="14" t="s">
        <v>67</v>
      </c>
      <c r="B15" s="3" t="s">
        <v>9</v>
      </c>
      <c r="C15" s="4">
        <v>0.5</v>
      </c>
      <c r="D15" s="4">
        <v>0.5</v>
      </c>
      <c r="E15" s="4"/>
      <c r="F15" s="4"/>
      <c r="G15" s="3" t="s">
        <v>58</v>
      </c>
      <c r="H15" s="1">
        <v>3</v>
      </c>
      <c r="I15" s="1"/>
      <c r="K15" t="s">
        <v>35</v>
      </c>
      <c r="L15" s="6">
        <f>SUMIFS(C:C,G:G,"X")</f>
        <v>6.5</v>
      </c>
      <c r="M15" s="7">
        <f>L15/SUM($L$15:$L$18)</f>
        <v>0.59090909090909094</v>
      </c>
    </row>
    <row r="16" spans="1:13" ht="15.75" x14ac:dyDescent="0.25">
      <c r="A16" s="14" t="s">
        <v>68</v>
      </c>
      <c r="B16" s="3" t="s">
        <v>40</v>
      </c>
      <c r="C16" s="4"/>
      <c r="D16" s="4"/>
      <c r="E16" s="4"/>
      <c r="F16" s="4"/>
      <c r="G16" s="3"/>
      <c r="H16" s="1"/>
      <c r="I16" s="1"/>
      <c r="K16" t="s">
        <v>36</v>
      </c>
      <c r="L16" s="6">
        <f>SUMIFS(D:D,G:G,"X")</f>
        <v>4.5</v>
      </c>
      <c r="M16" s="7">
        <f>L16/SUM($L$15:$L$18)</f>
        <v>0.40909090909090912</v>
      </c>
    </row>
    <row r="17" spans="1:15" ht="15.75" x14ac:dyDescent="0.25">
      <c r="A17" s="14" t="s">
        <v>69</v>
      </c>
      <c r="B17" s="3" t="s">
        <v>8</v>
      </c>
      <c r="C17" s="4"/>
      <c r="D17" s="4"/>
      <c r="E17" s="4"/>
      <c r="F17" s="4"/>
      <c r="G17" s="3"/>
      <c r="H17" s="1">
        <v>1</v>
      </c>
      <c r="I17" s="1"/>
    </row>
    <row r="18" spans="1:15" ht="15.75" x14ac:dyDescent="0.25">
      <c r="A18" s="13" t="s">
        <v>70</v>
      </c>
      <c r="B18" s="3" t="s">
        <v>9</v>
      </c>
      <c r="C18" s="4">
        <v>1</v>
      </c>
      <c r="D18" s="4"/>
      <c r="E18" s="4"/>
      <c r="F18" s="4"/>
      <c r="G18" s="3" t="s">
        <v>58</v>
      </c>
      <c r="H18" s="1">
        <v>1</v>
      </c>
      <c r="I18" s="1"/>
    </row>
    <row r="19" spans="1:15" ht="15.75" x14ac:dyDescent="0.25">
      <c r="A19" s="14" t="s">
        <v>71</v>
      </c>
      <c r="B19" s="3" t="s">
        <v>40</v>
      </c>
      <c r="C19" s="4"/>
      <c r="D19" s="4"/>
      <c r="E19" s="4"/>
      <c r="F19" s="4"/>
      <c r="G19" s="3"/>
      <c r="H19" s="1"/>
      <c r="I19" s="1"/>
    </row>
    <row r="20" spans="1:15" ht="18" thickBot="1" x14ac:dyDescent="0.35">
      <c r="A20" s="14" t="s">
        <v>72</v>
      </c>
      <c r="B20" s="3" t="s">
        <v>8</v>
      </c>
      <c r="C20" s="4"/>
      <c r="D20" s="4"/>
      <c r="E20" s="4"/>
      <c r="F20" s="4"/>
      <c r="G20" s="3" t="s">
        <v>58</v>
      </c>
      <c r="H20" s="1">
        <v>1</v>
      </c>
      <c r="I20" s="1"/>
      <c r="K20" s="9" t="s">
        <v>21</v>
      </c>
    </row>
    <row r="21" spans="1:15" ht="16.5" thickTop="1" x14ac:dyDescent="0.25">
      <c r="A21" s="14" t="s">
        <v>38</v>
      </c>
      <c r="B21" s="3" t="s">
        <v>9</v>
      </c>
      <c r="C21" s="4">
        <v>1</v>
      </c>
      <c r="D21" s="4"/>
      <c r="E21" s="4"/>
      <c r="F21" s="4"/>
      <c r="G21" s="3" t="s">
        <v>58</v>
      </c>
      <c r="H21" s="1">
        <v>1</v>
      </c>
      <c r="I21" s="1">
        <v>2</v>
      </c>
      <c r="L21" s="19" t="s">
        <v>4</v>
      </c>
      <c r="M21" s="19"/>
      <c r="N21" s="19"/>
      <c r="O21" s="19"/>
    </row>
    <row r="22" spans="1:15" ht="16.5" thickBot="1" x14ac:dyDescent="0.3">
      <c r="A22" s="14" t="s">
        <v>39</v>
      </c>
      <c r="B22" s="3" t="s">
        <v>9</v>
      </c>
      <c r="C22" s="4">
        <v>1</v>
      </c>
      <c r="D22" s="4"/>
      <c r="E22" s="4"/>
      <c r="F22" s="4"/>
      <c r="G22" s="3" t="s">
        <v>58</v>
      </c>
      <c r="H22" s="1">
        <v>1</v>
      </c>
      <c r="I22" s="1">
        <v>2</v>
      </c>
      <c r="K22" s="10" t="s">
        <v>22</v>
      </c>
      <c r="L22">
        <v>1</v>
      </c>
      <c r="M22">
        <v>2</v>
      </c>
      <c r="N22">
        <v>3</v>
      </c>
      <c r="O22">
        <v>4</v>
      </c>
    </row>
    <row r="23" spans="1:15" ht="127.15" customHeight="1" x14ac:dyDescent="0.25">
      <c r="K23" s="12" t="s">
        <v>32</v>
      </c>
      <c r="L23" s="11" t="s">
        <v>34</v>
      </c>
      <c r="M23" s="8"/>
      <c r="N23" s="8"/>
      <c r="O23" s="8"/>
    </row>
    <row r="24" spans="1:15" ht="123.6" customHeight="1" x14ac:dyDescent="0.25">
      <c r="K24" s="12" t="s">
        <v>33</v>
      </c>
      <c r="L24" s="11" t="s">
        <v>23</v>
      </c>
      <c r="M24" s="8"/>
      <c r="N24" s="8"/>
      <c r="O24" s="8"/>
    </row>
    <row r="25" spans="1:15" ht="56.25" customHeight="1" x14ac:dyDescent="0.25"/>
    <row r="26" spans="1:15" ht="19.5" customHeight="1" thickBot="1" x14ac:dyDescent="0.3">
      <c r="K26" s="10" t="s">
        <v>24</v>
      </c>
    </row>
    <row r="27" spans="1:15" x14ac:dyDescent="0.25">
      <c r="K27" s="12" t="s">
        <v>25</v>
      </c>
      <c r="L27" s="16"/>
      <c r="M27" s="16"/>
      <c r="N27" s="16"/>
      <c r="O27" s="16"/>
    </row>
    <row r="28" spans="1:15" x14ac:dyDescent="0.25">
      <c r="K28" s="12" t="s">
        <v>26</v>
      </c>
      <c r="L28" s="15"/>
      <c r="M28" s="15"/>
      <c r="N28" s="15"/>
      <c r="O28" s="15"/>
    </row>
    <row r="30" spans="1:15" ht="15.75" thickBot="1" x14ac:dyDescent="0.3">
      <c r="K30" s="10" t="s">
        <v>27</v>
      </c>
    </row>
    <row r="31" spans="1:15" ht="44.45" customHeight="1" x14ac:dyDescent="0.25">
      <c r="K31" s="12" t="s">
        <v>28</v>
      </c>
      <c r="L31" s="15"/>
      <c r="M31" s="15"/>
      <c r="N31" s="15"/>
      <c r="O31" s="15"/>
    </row>
    <row r="32" spans="1:15" ht="45" customHeight="1" x14ac:dyDescent="0.25">
      <c r="K32" s="12" t="s">
        <v>29</v>
      </c>
      <c r="L32" s="17"/>
      <c r="M32" s="17"/>
      <c r="N32" s="17"/>
      <c r="O32" s="17"/>
    </row>
    <row r="33" spans="11:15" x14ac:dyDescent="0.25">
      <c r="K33" s="12" t="s">
        <v>30</v>
      </c>
      <c r="L33" s="17"/>
      <c r="M33" s="17"/>
      <c r="N33" s="17"/>
      <c r="O33" s="17"/>
    </row>
    <row r="34" spans="11:15" x14ac:dyDescent="0.25">
      <c r="K34" s="12"/>
      <c r="L34" s="12"/>
      <c r="M34" s="12"/>
      <c r="N34" s="12"/>
      <c r="O34" s="12"/>
    </row>
    <row r="35" spans="11:15" ht="31.15" customHeight="1" x14ac:dyDescent="0.25">
      <c r="K35" s="12" t="s">
        <v>31</v>
      </c>
      <c r="L35" s="17"/>
      <c r="M35" s="17"/>
      <c r="N35" s="17"/>
      <c r="O35" s="17"/>
    </row>
    <row r="36" spans="11:15" ht="30.6" customHeight="1" x14ac:dyDescent="0.25"/>
    <row r="37" spans="11:15" ht="31.15" customHeight="1" x14ac:dyDescent="0.25"/>
    <row r="39" spans="11:15" ht="31.15" customHeight="1" x14ac:dyDescent="0.25"/>
  </sheetData>
  <mergeCells count="5">
    <mergeCell ref="L33:O33"/>
    <mergeCell ref="L35:O35"/>
    <mergeCell ref="B1:I1"/>
    <mergeCell ref="L21:O21"/>
    <mergeCell ref="L32:O32"/>
  </mergeCells>
  <pageMargins left="0.7" right="0.7" top="0.75" bottom="0.75" header="0.3" footer="0.3"/>
  <pageSetup orientation="portrait" horizontalDpi="4294967295" verticalDpi="4294967295"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37C47-DF27-4421-A54B-1AE7B0D5C7F9}">
  <dimension ref="A1:O39"/>
  <sheetViews>
    <sheetView tabSelected="1" topLeftCell="A2" zoomScale="85" zoomScaleNormal="85" workbookViewId="0">
      <selection activeCell="L23" sqref="L23"/>
    </sheetView>
  </sheetViews>
  <sheetFormatPr baseColWidth="10" defaultColWidth="8.85546875" defaultRowHeight="15" x14ac:dyDescent="0.25"/>
  <cols>
    <col min="1" max="1" width="66.42578125" bestFit="1" customWidth="1"/>
    <col min="2" max="2" width="21.85546875" bestFit="1" customWidth="1"/>
    <col min="3" max="6" width="10.28515625" customWidth="1"/>
    <col min="7" max="7" width="8.140625" style="2" bestFit="1" customWidth="1"/>
    <col min="8" max="8" width="14.42578125" bestFit="1" customWidth="1"/>
    <col min="9" max="9" width="14.42578125" customWidth="1"/>
    <col min="11" max="11" width="47.5703125" bestFit="1" customWidth="1"/>
    <col min="12" max="12" width="30" customWidth="1"/>
    <col min="13" max="14" width="26.7109375" customWidth="1"/>
    <col min="15" max="15" width="29.28515625" customWidth="1"/>
  </cols>
  <sheetData>
    <row r="1" spans="1:13" ht="18" thickBot="1" x14ac:dyDescent="0.35">
      <c r="A1" t="s">
        <v>2</v>
      </c>
      <c r="B1" s="18" t="s">
        <v>7</v>
      </c>
      <c r="C1" s="18"/>
      <c r="D1" s="18"/>
      <c r="E1" s="18"/>
      <c r="F1" s="18"/>
      <c r="G1" s="18"/>
      <c r="H1" s="18"/>
      <c r="I1" s="18"/>
      <c r="K1" s="9" t="s">
        <v>3</v>
      </c>
    </row>
    <row r="2" spans="1:13" ht="15.75" thickTop="1" x14ac:dyDescent="0.25">
      <c r="K2" t="s">
        <v>10</v>
      </c>
      <c r="L2" s="6">
        <f>AVERAGEIFS(H:H,G:G, "X", B:B, "Récit")</f>
        <v>2.3333333333333335</v>
      </c>
    </row>
    <row r="3" spans="1:13" x14ac:dyDescent="0.25">
      <c r="A3" s="2" t="s">
        <v>0</v>
      </c>
      <c r="B3" s="2" t="s">
        <v>19</v>
      </c>
      <c r="C3" s="2" t="s">
        <v>35</v>
      </c>
      <c r="D3" s="2" t="s">
        <v>36</v>
      </c>
      <c r="E3" s="2" t="s">
        <v>37</v>
      </c>
      <c r="F3" s="2" t="s">
        <v>37</v>
      </c>
      <c r="G3" s="2" t="s">
        <v>1</v>
      </c>
      <c r="H3" s="2" t="s">
        <v>5</v>
      </c>
      <c r="I3" s="2" t="s">
        <v>6</v>
      </c>
      <c r="K3" t="s">
        <v>11</v>
      </c>
      <c r="L3" s="6">
        <f>AVERAGEIFS(H:H,G:G, "X", B:B, "Tâche")</f>
        <v>1.6363636363636365</v>
      </c>
    </row>
    <row r="4" spans="1:13" ht="15.75" x14ac:dyDescent="0.25">
      <c r="A4" s="23"/>
      <c r="B4" s="3" t="s">
        <v>40</v>
      </c>
      <c r="C4" s="4"/>
      <c r="D4" s="4"/>
      <c r="E4" s="4"/>
      <c r="F4" s="4"/>
      <c r="G4" s="3"/>
      <c r="H4" s="5"/>
      <c r="I4" s="5"/>
      <c r="K4" t="s">
        <v>16</v>
      </c>
      <c r="L4" s="6">
        <f>COUNTIFS(G:G, "X", B:B, "Récit")</f>
        <v>3</v>
      </c>
    </row>
    <row r="5" spans="1:13" ht="15.75" x14ac:dyDescent="0.25">
      <c r="A5" s="23"/>
      <c r="B5" s="3" t="s">
        <v>8</v>
      </c>
      <c r="C5" s="4"/>
      <c r="D5" s="4"/>
      <c r="E5" s="4"/>
      <c r="F5" s="4"/>
      <c r="G5" s="3" t="s">
        <v>58</v>
      </c>
      <c r="H5" s="1">
        <v>3</v>
      </c>
      <c r="I5" s="1"/>
      <c r="K5" t="s">
        <v>17</v>
      </c>
      <c r="L5" s="6">
        <f>COUNTIFS(G:G, "X", B:B, "Tâche")</f>
        <v>11</v>
      </c>
    </row>
    <row r="6" spans="1:13" ht="15.75" x14ac:dyDescent="0.25">
      <c r="A6" s="23"/>
      <c r="B6" s="3" t="s">
        <v>9</v>
      </c>
      <c r="C6" s="4"/>
      <c r="D6" s="4">
        <v>1</v>
      </c>
      <c r="E6" s="4"/>
      <c r="F6" s="4"/>
      <c r="G6" s="3" t="s">
        <v>58</v>
      </c>
      <c r="H6" s="1">
        <v>2</v>
      </c>
      <c r="I6" s="1"/>
    </row>
    <row r="7" spans="1:13" ht="16.5" thickBot="1" x14ac:dyDescent="0.3">
      <c r="A7" s="23"/>
      <c r="B7" s="3" t="s">
        <v>9</v>
      </c>
      <c r="C7" s="4"/>
      <c r="D7" s="4">
        <v>1</v>
      </c>
      <c r="E7" s="4"/>
      <c r="F7" s="4"/>
      <c r="G7" s="3" t="s">
        <v>58</v>
      </c>
      <c r="H7" s="1">
        <v>1</v>
      </c>
      <c r="I7" s="1"/>
      <c r="K7" s="10" t="s">
        <v>20</v>
      </c>
    </row>
    <row r="8" spans="1:13" ht="15.75" x14ac:dyDescent="0.25">
      <c r="A8" s="23"/>
      <c r="B8" s="3" t="s">
        <v>9</v>
      </c>
      <c r="C8" s="4"/>
      <c r="D8" s="4">
        <v>1</v>
      </c>
      <c r="E8" s="4"/>
      <c r="F8" s="4"/>
      <c r="G8" s="3" t="s">
        <v>58</v>
      </c>
      <c r="H8" s="1">
        <v>3</v>
      </c>
      <c r="I8" s="1"/>
      <c r="K8" t="s">
        <v>13</v>
      </c>
      <c r="L8" s="6">
        <f>COUNTIF(B:B,"Récit")</f>
        <v>4</v>
      </c>
    </row>
    <row r="9" spans="1:13" ht="15.75" x14ac:dyDescent="0.25">
      <c r="A9" s="14"/>
      <c r="B9" s="3" t="s">
        <v>9</v>
      </c>
      <c r="C9" s="4"/>
      <c r="D9" s="4">
        <v>1</v>
      </c>
      <c r="E9" s="4"/>
      <c r="F9" s="4"/>
      <c r="G9" s="3" t="s">
        <v>58</v>
      </c>
      <c r="H9" s="1">
        <v>2</v>
      </c>
      <c r="I9" s="1"/>
      <c r="K9" t="s">
        <v>14</v>
      </c>
      <c r="L9" s="6">
        <f>COUNTIF(B:B, "Tâche")</f>
        <v>11</v>
      </c>
    </row>
    <row r="10" spans="1:13" ht="15.75" x14ac:dyDescent="0.25">
      <c r="A10" s="14"/>
      <c r="B10" s="3" t="s">
        <v>40</v>
      </c>
      <c r="C10" s="4"/>
      <c r="D10" s="4"/>
      <c r="E10" s="4"/>
      <c r="F10" s="4"/>
      <c r="G10" s="3"/>
      <c r="H10" s="1"/>
      <c r="I10" s="1"/>
    </row>
    <row r="11" spans="1:13" ht="15.75" x14ac:dyDescent="0.25">
      <c r="A11" s="14"/>
      <c r="B11" s="3" t="s">
        <v>8</v>
      </c>
      <c r="C11" s="4"/>
      <c r="D11" s="4"/>
      <c r="E11" s="4"/>
      <c r="F11" s="4"/>
      <c r="G11" s="3" t="s">
        <v>58</v>
      </c>
      <c r="H11" s="1">
        <v>3</v>
      </c>
      <c r="I11" s="1"/>
      <c r="K11" t="s">
        <v>12</v>
      </c>
      <c r="L11" s="7">
        <f>L4/L8</f>
        <v>0.75</v>
      </c>
    </row>
    <row r="12" spans="1:13" ht="15.75" x14ac:dyDescent="0.25">
      <c r="A12" s="14"/>
      <c r="B12" s="3" t="s">
        <v>9</v>
      </c>
      <c r="C12" s="4">
        <v>1</v>
      </c>
      <c r="D12" s="4"/>
      <c r="E12" s="4"/>
      <c r="F12" s="4"/>
      <c r="G12" s="3" t="s">
        <v>58</v>
      </c>
      <c r="H12" s="1">
        <v>2</v>
      </c>
      <c r="I12" s="1"/>
      <c r="K12" t="s">
        <v>15</v>
      </c>
      <c r="L12" s="7">
        <f>L5/L9</f>
        <v>1</v>
      </c>
    </row>
    <row r="13" spans="1:13" ht="15.75" x14ac:dyDescent="0.25">
      <c r="A13" s="14"/>
      <c r="B13" s="3" t="s">
        <v>9</v>
      </c>
      <c r="C13" s="4">
        <v>1</v>
      </c>
      <c r="D13" s="4"/>
      <c r="E13" s="4"/>
      <c r="F13" s="4"/>
      <c r="G13" s="3" t="s">
        <v>58</v>
      </c>
      <c r="H13" s="1">
        <v>1</v>
      </c>
      <c r="I13" s="1"/>
    </row>
    <row r="14" spans="1:13" ht="16.5" thickBot="1" x14ac:dyDescent="0.3">
      <c r="A14" s="14"/>
      <c r="B14" s="3" t="s">
        <v>9</v>
      </c>
      <c r="C14" s="4">
        <v>1</v>
      </c>
      <c r="D14" s="4"/>
      <c r="E14" s="4"/>
      <c r="F14" s="4"/>
      <c r="G14" s="3" t="s">
        <v>58</v>
      </c>
      <c r="H14" s="1">
        <v>1</v>
      </c>
      <c r="I14" s="1"/>
      <c r="K14" s="10" t="s">
        <v>18</v>
      </c>
    </row>
    <row r="15" spans="1:13" ht="15.75" x14ac:dyDescent="0.25">
      <c r="A15" s="14"/>
      <c r="B15" s="3" t="s">
        <v>9</v>
      </c>
      <c r="C15" s="4">
        <v>0.5</v>
      </c>
      <c r="D15" s="4">
        <v>0.5</v>
      </c>
      <c r="E15" s="4"/>
      <c r="F15" s="4"/>
      <c r="G15" s="3" t="s">
        <v>58</v>
      </c>
      <c r="H15" s="1">
        <v>3</v>
      </c>
      <c r="I15" s="1"/>
      <c r="K15" t="s">
        <v>35</v>
      </c>
      <c r="L15" s="6">
        <f>SUMIFS(C:C,G:G,"X")</f>
        <v>6.5</v>
      </c>
      <c r="M15" s="7">
        <f>L15/SUM($L$15:$L$18)</f>
        <v>0.59090909090909094</v>
      </c>
    </row>
    <row r="16" spans="1:13" ht="15.75" x14ac:dyDescent="0.25">
      <c r="A16" s="14"/>
      <c r="B16" s="3" t="s">
        <v>40</v>
      </c>
      <c r="C16" s="4"/>
      <c r="D16" s="4"/>
      <c r="E16" s="4"/>
      <c r="F16" s="4"/>
      <c r="G16" s="3"/>
      <c r="H16" s="1"/>
      <c r="I16" s="1"/>
      <c r="K16" t="s">
        <v>36</v>
      </c>
      <c r="L16" s="6">
        <f>SUMIFS(D:D,G:G,"X")</f>
        <v>4.5</v>
      </c>
      <c r="M16" s="7">
        <f>L16/SUM($L$15:$L$18)</f>
        <v>0.40909090909090912</v>
      </c>
    </row>
    <row r="17" spans="1:15" ht="15.75" x14ac:dyDescent="0.25">
      <c r="A17" s="14"/>
      <c r="B17" s="3" t="s">
        <v>8</v>
      </c>
      <c r="C17" s="4"/>
      <c r="D17" s="4"/>
      <c r="E17" s="4"/>
      <c r="F17" s="4"/>
      <c r="G17" s="3"/>
      <c r="H17" s="1">
        <v>1</v>
      </c>
      <c r="I17" s="1"/>
    </row>
    <row r="18" spans="1:15" ht="15.75" x14ac:dyDescent="0.25">
      <c r="A18" s="13"/>
      <c r="B18" s="3" t="s">
        <v>9</v>
      </c>
      <c r="C18" s="4">
        <v>1</v>
      </c>
      <c r="D18" s="4"/>
      <c r="E18" s="4"/>
      <c r="F18" s="4"/>
      <c r="G18" s="3" t="s">
        <v>58</v>
      </c>
      <c r="H18" s="1">
        <v>1</v>
      </c>
      <c r="I18" s="1"/>
    </row>
    <row r="19" spans="1:15" ht="15.75" x14ac:dyDescent="0.25">
      <c r="A19" s="14"/>
      <c r="B19" s="3" t="s">
        <v>40</v>
      </c>
      <c r="C19" s="4"/>
      <c r="D19" s="4"/>
      <c r="E19" s="4"/>
      <c r="F19" s="4"/>
      <c r="G19" s="3"/>
      <c r="H19" s="1"/>
      <c r="I19" s="1"/>
    </row>
    <row r="20" spans="1:15" ht="18" thickBot="1" x14ac:dyDescent="0.35">
      <c r="A20" s="14"/>
      <c r="B20" s="3" t="s">
        <v>8</v>
      </c>
      <c r="C20" s="4"/>
      <c r="D20" s="4"/>
      <c r="E20" s="4"/>
      <c r="F20" s="4"/>
      <c r="G20" s="3" t="s">
        <v>58</v>
      </c>
      <c r="H20" s="1">
        <v>1</v>
      </c>
      <c r="I20" s="1"/>
      <c r="K20" s="9" t="s">
        <v>21</v>
      </c>
    </row>
    <row r="21" spans="1:15" ht="16.5" thickTop="1" x14ac:dyDescent="0.25">
      <c r="A21" s="14"/>
      <c r="B21" s="3" t="s">
        <v>9</v>
      </c>
      <c r="C21" s="4">
        <v>1</v>
      </c>
      <c r="D21" s="4"/>
      <c r="E21" s="4"/>
      <c r="F21" s="4"/>
      <c r="G21" s="3" t="s">
        <v>58</v>
      </c>
      <c r="H21" s="1">
        <v>1</v>
      </c>
      <c r="I21" s="1">
        <v>2</v>
      </c>
      <c r="L21" s="19" t="s">
        <v>4</v>
      </c>
      <c r="M21" s="19"/>
      <c r="N21" s="19"/>
      <c r="O21" s="19"/>
    </row>
    <row r="22" spans="1:15" ht="16.5" thickBot="1" x14ac:dyDescent="0.3">
      <c r="A22" s="14"/>
      <c r="B22" s="3" t="s">
        <v>9</v>
      </c>
      <c r="C22" s="4">
        <v>1</v>
      </c>
      <c r="D22" s="4"/>
      <c r="E22" s="4"/>
      <c r="F22" s="4"/>
      <c r="G22" s="3" t="s">
        <v>58</v>
      </c>
      <c r="H22" s="1">
        <v>1</v>
      </c>
      <c r="I22" s="1">
        <v>2</v>
      </c>
      <c r="K22" s="10" t="s">
        <v>22</v>
      </c>
      <c r="L22">
        <v>1</v>
      </c>
      <c r="M22">
        <v>2</v>
      </c>
      <c r="N22">
        <v>3</v>
      </c>
      <c r="O22">
        <v>4</v>
      </c>
    </row>
    <row r="23" spans="1:15" ht="127.15" customHeight="1" x14ac:dyDescent="0.25">
      <c r="K23" s="12" t="s">
        <v>35</v>
      </c>
      <c r="L23" s="11" t="s">
        <v>76</v>
      </c>
      <c r="M23" s="8"/>
      <c r="N23" s="8"/>
      <c r="O23" s="8"/>
    </row>
    <row r="24" spans="1:15" ht="123.6" customHeight="1" x14ac:dyDescent="0.25">
      <c r="K24" s="12" t="s">
        <v>74</v>
      </c>
      <c r="L24" s="11" t="s">
        <v>75</v>
      </c>
      <c r="M24" s="8"/>
      <c r="N24" s="8"/>
      <c r="O24" s="8"/>
    </row>
    <row r="25" spans="1:15" ht="56.25" customHeight="1" x14ac:dyDescent="0.25"/>
    <row r="26" spans="1:15" ht="19.5" customHeight="1" thickBot="1" x14ac:dyDescent="0.3">
      <c r="K26" s="10" t="s">
        <v>24</v>
      </c>
    </row>
    <row r="27" spans="1:15" x14ac:dyDescent="0.25">
      <c r="K27" s="12" t="s">
        <v>25</v>
      </c>
      <c r="L27" s="16"/>
      <c r="M27" s="16"/>
      <c r="N27" s="16"/>
      <c r="O27" s="16"/>
    </row>
    <row r="28" spans="1:15" x14ac:dyDescent="0.25">
      <c r="K28" s="12" t="s">
        <v>26</v>
      </c>
      <c r="L28" s="15"/>
      <c r="M28" s="15"/>
      <c r="N28" s="15"/>
      <c r="O28" s="15"/>
    </row>
    <row r="30" spans="1:15" ht="15.75" thickBot="1" x14ac:dyDescent="0.3">
      <c r="K30" s="10" t="s">
        <v>27</v>
      </c>
    </row>
    <row r="31" spans="1:15" ht="44.45" customHeight="1" x14ac:dyDescent="0.25">
      <c r="K31" s="12" t="s">
        <v>28</v>
      </c>
      <c r="L31" s="15"/>
      <c r="M31" s="15"/>
      <c r="N31" s="15"/>
      <c r="O31" s="15"/>
    </row>
    <row r="32" spans="1:15" ht="45" customHeight="1" x14ac:dyDescent="0.25">
      <c r="K32" s="12" t="s">
        <v>29</v>
      </c>
      <c r="L32" s="17"/>
      <c r="M32" s="17"/>
      <c r="N32" s="17"/>
      <c r="O32" s="17"/>
    </row>
    <row r="33" spans="11:15" x14ac:dyDescent="0.25">
      <c r="K33" s="12" t="s">
        <v>30</v>
      </c>
      <c r="L33" s="17"/>
      <c r="M33" s="17"/>
      <c r="N33" s="17"/>
      <c r="O33" s="17"/>
    </row>
    <row r="34" spans="11:15" x14ac:dyDescent="0.25">
      <c r="K34" s="12"/>
      <c r="L34" s="12"/>
      <c r="M34" s="12"/>
      <c r="N34" s="12"/>
      <c r="O34" s="12"/>
    </row>
    <row r="35" spans="11:15" ht="31.15" customHeight="1" x14ac:dyDescent="0.25">
      <c r="K35" s="12" t="s">
        <v>31</v>
      </c>
      <c r="L35" s="17"/>
      <c r="M35" s="17"/>
      <c r="N35" s="17"/>
      <c r="O35" s="17"/>
    </row>
    <row r="36" spans="11:15" ht="30.6" customHeight="1" x14ac:dyDescent="0.25"/>
    <row r="37" spans="11:15" ht="31.15" customHeight="1" x14ac:dyDescent="0.25"/>
    <row r="39" spans="11:15" ht="31.15" customHeight="1" x14ac:dyDescent="0.25"/>
  </sheetData>
  <mergeCells count="5">
    <mergeCell ref="B1:I1"/>
    <mergeCell ref="L21:O21"/>
    <mergeCell ref="L32:O32"/>
    <mergeCell ref="L33:O33"/>
    <mergeCell ref="L35:O35"/>
  </mergeCells>
  <pageMargins left="0.7" right="0.7" top="0.75" bottom="0.75" header="0.3" footer="0.3"/>
  <pageSetup orientation="portrait" horizontalDpi="4294967295" verticalDpi="4294967295"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Sprint1</vt:lpstr>
      <vt:lpstr>Sprint2</vt:lpstr>
      <vt:lpstr>Sprint3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Stéphane Lévesque</dc:creator>
  <cp:lastModifiedBy>Pernichev, Boris</cp:lastModifiedBy>
  <dcterms:created xsi:type="dcterms:W3CDTF">2024-08-18T18:39:34Z</dcterms:created>
  <dcterms:modified xsi:type="dcterms:W3CDTF">2025-10-01T15:38:35Z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615819-ba40-4aaf-a034-39fd1d37cddf_Enabled">
    <vt:lpwstr>true</vt:lpwstr>
  </property>
  <property fmtid="{D5CDD505-2E9C-101B-9397-08002B2CF9AE}" pid="3" name="MSIP_Label_6b615819-ba40-4aaf-a034-39fd1d37cddf_SetDate">
    <vt:lpwstr>2024-08-29T15:48:39Z</vt:lpwstr>
  </property>
  <property fmtid="{D5CDD505-2E9C-101B-9397-08002B2CF9AE}" pid="4" name="MSIP_Label_6b615819-ba40-4aaf-a034-39fd1d37cddf_Method">
    <vt:lpwstr>Standard</vt:lpwstr>
  </property>
  <property fmtid="{D5CDD505-2E9C-101B-9397-08002B2CF9AE}" pid="5" name="MSIP_Label_6b615819-ba40-4aaf-a034-39fd1d37cddf_Name">
    <vt:lpwstr>defa4170-0d19-0005-0004-bc88714345d2</vt:lpwstr>
  </property>
  <property fmtid="{D5CDD505-2E9C-101B-9397-08002B2CF9AE}" pid="6" name="MSIP_Label_6b615819-ba40-4aaf-a034-39fd1d37cddf_SiteId">
    <vt:lpwstr>f9182dd7-4234-41fb-9e9c-dd20d493b548</vt:lpwstr>
  </property>
  <property fmtid="{D5CDD505-2E9C-101B-9397-08002B2CF9AE}" pid="7" name="MSIP_Label_6b615819-ba40-4aaf-a034-39fd1d37cddf_ActionId">
    <vt:lpwstr>68bc2f7e-66e1-4e38-98cf-43cd4917e3a6</vt:lpwstr>
  </property>
  <property fmtid="{D5CDD505-2E9C-101B-9397-08002B2CF9AE}" pid="8" name="MSIP_Label_6b615819-ba40-4aaf-a034-39fd1d37cddf_ContentBits">
    <vt:lpwstr>0</vt:lpwstr>
  </property>
</Properties>
</file>