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2281126\Documents\GitHub\projet-de-session-5gd-a25-gr-e\"/>
    </mc:Choice>
  </mc:AlternateContent>
  <xr:revisionPtr revIDLastSave="0" documentId="13_ncr:1_{66D0A666-8AB5-4380-8E33-DF6A4E43F1C0}" xr6:coauthVersionLast="47" xr6:coauthVersionMax="47" xr10:uidLastSave="{00000000-0000-0000-0000-000000000000}"/>
  <bookViews>
    <workbookView xWindow="14295" yWindow="0" windowWidth="14610" windowHeight="15585" xr2:uid="{6BF6013A-4C68-4CEF-BF49-8F7071437FDB}"/>
  </bookViews>
  <sheets>
    <sheet name="Exemple" sheetId="1" r:id="rId1"/>
    <sheet name="Exemple (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2" l="1"/>
  <c r="M18" i="2" s="1"/>
  <c r="L17" i="2"/>
  <c r="M17" i="2" s="1"/>
  <c r="L16" i="2"/>
  <c r="M16" i="2" s="1"/>
  <c r="L15" i="2"/>
  <c r="M15" i="2" s="1"/>
  <c r="L9" i="2"/>
  <c r="L8" i="2"/>
  <c r="L5" i="2"/>
  <c r="L12" i="2" s="1"/>
  <c r="L4" i="2"/>
  <c r="L11" i="2" s="1"/>
  <c r="L3" i="2"/>
  <c r="L2" i="2"/>
  <c r="L18" i="1"/>
  <c r="L17" i="1"/>
  <c r="L16" i="1"/>
  <c r="L15" i="1"/>
  <c r="L9" i="1"/>
  <c r="L8" i="1"/>
  <c r="L5" i="1"/>
  <c r="L12" i="1" s="1"/>
  <c r="L2" i="1"/>
  <c r="L3" i="1"/>
  <c r="L4" i="1"/>
  <c r="L11" i="1" s="1"/>
  <c r="M18" i="1" l="1"/>
  <c r="M15" i="1"/>
  <c r="M17" i="1"/>
  <c r="M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1436BC68-6862-4DA3-AE73-44AC3E642BA5}">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55FB5F07-C4FD-43A5-B9B8-014378EB64E4}">
      <text>
        <r>
          <rPr>
            <sz val="9"/>
            <color indexed="81"/>
            <rFont val="Tahoma"/>
            <charset val="1"/>
          </rPr>
          <t>Indiquer X (majuscule) si l'item est conforme à la Définition de Terminé</t>
        </r>
      </text>
    </comment>
    <comment ref="H3" authorId="0" shapeId="0" xr:uid="{1F37F235-0DAD-4706-AAD6-EB528448AC98}">
      <text>
        <r>
          <rPr>
            <sz val="9"/>
            <color indexed="81"/>
            <rFont val="Tahoma"/>
            <charset val="1"/>
          </rPr>
          <t>Le nombre de jours entre le début et la fin du travail sur cet item (minimum 1)</t>
        </r>
      </text>
    </comment>
    <comment ref="I3" authorId="0" shapeId="0" xr:uid="{3D1EC365-15D5-4AD8-AE26-96600E8AB048}">
      <text>
        <r>
          <rPr>
            <sz val="9"/>
            <color indexed="81"/>
            <rFont val="Tahoma"/>
            <charset val="1"/>
          </rPr>
          <t>Nombre de jours depuis le début du travail sur cet item (minimum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8933BABB-7FD9-4613-B561-EB44999E4236}">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F1359BC1-25E1-4C40-96CC-E179D96F1494}">
      <text>
        <r>
          <rPr>
            <sz val="9"/>
            <color indexed="81"/>
            <rFont val="Tahoma"/>
            <charset val="1"/>
          </rPr>
          <t>Indiquer X (majuscule) si l'item est conforme à la Définition de Terminé</t>
        </r>
      </text>
    </comment>
    <comment ref="H3" authorId="0" shapeId="0" xr:uid="{2A3F4C6D-7D37-46DB-A6F9-4E2434F38367}">
      <text>
        <r>
          <rPr>
            <sz val="9"/>
            <color indexed="81"/>
            <rFont val="Tahoma"/>
            <charset val="1"/>
          </rPr>
          <t>Le nombre de jours entre le début et la fin du travail sur cet item (minimum 1)</t>
        </r>
      </text>
    </comment>
    <comment ref="I3" authorId="0" shapeId="0" xr:uid="{EBA69CED-958B-4718-B0E9-D475A1E55CED}">
      <text>
        <r>
          <rPr>
            <sz val="9"/>
            <color indexed="81"/>
            <rFont val="Tahoma"/>
            <charset val="1"/>
          </rPr>
          <t>Nombre de jours depuis le début du travail sur cet item (minimum 1)</t>
        </r>
      </text>
    </comment>
  </commentList>
</comments>
</file>

<file path=xl/sharedStrings.xml><?xml version="1.0" encoding="utf-8"?>
<sst xmlns="http://schemas.openxmlformats.org/spreadsheetml/2006/main" count="132" uniqueCount="56">
  <si>
    <t>Item planifié</t>
  </si>
  <si>
    <t>Terminé</t>
  </si>
  <si>
    <t>Objectif de sprint:</t>
  </si>
  <si>
    <t>Métriques de sprint</t>
  </si>
  <si>
    <t>Période de cours</t>
  </si>
  <si>
    <t>Temps de cycle</t>
  </si>
  <si>
    <t>Âge</t>
  </si>
  <si>
    <t>S'authentifier avec son compte usager</t>
  </si>
  <si>
    <t>Récit</t>
  </si>
  <si>
    <t>Joseph</t>
  </si>
  <si>
    <t>Jacques</t>
  </si>
  <si>
    <t>Tâche</t>
  </si>
  <si>
    <t>Guillaume</t>
  </si>
  <si>
    <t>Aurèle</t>
  </si>
  <si>
    <t>Temps de cycle moyen (récits)</t>
  </si>
  <si>
    <t>Temps de cycle moyen (tâches)</t>
  </si>
  <si>
    <t>Récits terminés</t>
  </si>
  <si>
    <t>Nombre de récits planifiés</t>
  </si>
  <si>
    <t>Nombre de tâches planifiées</t>
  </si>
  <si>
    <t>Tâches terminées</t>
  </si>
  <si>
    <t>Débit récits (sur 14 jours)</t>
  </si>
  <si>
    <t>Débit tâches (sur 14 jours)</t>
  </si>
  <si>
    <t>Indice de contribution</t>
  </si>
  <si>
    <t>Type (Saga/Récit/Tâche)</t>
  </si>
  <si>
    <t>Livraison</t>
  </si>
  <si>
    <t>Suivi de projet</t>
  </si>
  <si>
    <t>Faits saillants du daily Scrum</t>
  </si>
  <si>
    <t>Absent</t>
  </si>
  <si>
    <t>Revue</t>
  </si>
  <si>
    <t>Priorités pour le prochain sprint</t>
  </si>
  <si>
    <t>Changements aux objectifs / besoins</t>
  </si>
  <si>
    <t>Rétrospective</t>
  </si>
  <si>
    <t>Points forts</t>
  </si>
  <si>
    <t>Points à améliorer</t>
  </si>
  <si>
    <t>Mesure d'amélioration pour le prochain sprint</t>
  </si>
  <si>
    <t>Bilan de la mesure d'amélioration du sprint courant</t>
  </si>
  <si>
    <t>Membre 1</t>
  </si>
  <si>
    <t>Membre 2</t>
  </si>
  <si>
    <t>Membre 3</t>
  </si>
  <si>
    <t>Membre 4</t>
  </si>
  <si>
    <r>
      <rPr>
        <b/>
        <sz val="11"/>
        <color rgb="FF3F3F76"/>
        <rFont val="Aptos Narrow"/>
        <family val="2"/>
        <scheme val="minor"/>
      </rPr>
      <t>Progrès accomplis:</t>
    </r>
    <r>
      <rPr>
        <sz val="11"/>
        <color rgb="FF3F3F76"/>
        <rFont val="Aptos Narrow"/>
        <family val="2"/>
        <scheme val="minor"/>
      </rPr>
      <t xml:space="preserve"> Terminé la conception de l'interfaceUI.                   </t>
    </r>
    <r>
      <rPr>
        <b/>
        <sz val="11"/>
        <color rgb="FF3F3F76"/>
        <rFont val="Aptos Narrow"/>
        <family val="2"/>
        <scheme val="minor"/>
      </rPr>
      <t>Objectifs pour la journée :</t>
    </r>
    <r>
      <rPr>
        <sz val="11"/>
        <color rgb="FF3F3F76"/>
        <rFont val="Aptos Narrow"/>
        <family val="2"/>
        <scheme val="minor"/>
      </rPr>
      <t xml:space="preserve">Implémenter les tests UI.            </t>
    </r>
    <r>
      <rPr>
        <b/>
        <sz val="11"/>
        <color rgb="FF3F3F76"/>
        <rFont val="Aptos Narrow"/>
        <family val="2"/>
        <scheme val="minor"/>
      </rPr>
      <t>Obstacles rencontrés:</t>
    </r>
    <r>
      <rPr>
        <sz val="11"/>
        <color rgb="FF3F3F76"/>
        <rFont val="Aptos Narrow"/>
        <family val="2"/>
        <scheme val="minor"/>
      </rPr>
      <t xml:space="preserve">Problème avec la bibliothèque graphique.  </t>
    </r>
    <r>
      <rPr>
        <b/>
        <sz val="11"/>
        <color rgb="FF3F3F76"/>
        <rFont val="Aptos Narrow"/>
        <family val="2"/>
        <scheme val="minor"/>
      </rPr>
      <t>Actions Suivantes:</t>
    </r>
    <r>
      <rPr>
        <sz val="11"/>
        <color rgb="FF3F3F76"/>
        <rFont val="Aptos Narrow"/>
        <family val="2"/>
        <scheme val="minor"/>
      </rPr>
      <t xml:space="preserve"> aide de l'enseignant.</t>
    </r>
  </si>
  <si>
    <t>Boris</t>
  </si>
  <si>
    <t>Emile</t>
  </si>
  <si>
    <t>-</t>
  </si>
  <si>
    <t>Création de l’interface de base</t>
  </si>
  <si>
    <t xml:space="preserve">  Barre de score de réputation</t>
  </si>
  <si>
    <t xml:space="preserve">  Barre d’argent</t>
  </si>
  <si>
    <t xml:space="preserve">  Setup de la NavMesh</t>
  </si>
  <si>
    <t xml:space="preserve">  Creation du script de mouvement des agents</t>
  </si>
  <si>
    <t>Fonctionnement des agents</t>
  </si>
  <si>
    <t xml:space="preserve">  Setup des NavMeshObstacles</t>
  </si>
  <si>
    <t>Animations</t>
  </si>
  <si>
    <t xml:space="preserve"> Animation du vendeur de poisson</t>
  </si>
  <si>
    <t xml:space="preserve"> Animation du vendeur d'armes</t>
  </si>
  <si>
    <t xml:space="preserve">  Setup du magasin du joueur</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</si>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</sst>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b/>
      <sz val="11"/>
      <color rgb="FFFA7D00"/>
      <name val="Aptos Narrow"/>
      <family val="2"/>
      <scheme val="minor"/>
    </font>
    <font>
      <b/>
      <sz val="11"/>
      <color theme="1"/>
      <name val="Aptos Narrow"/>
      <family val="2"/>
      <scheme val="minor"/>
    </font>
    <font>
      <sz val="9"/>
      <color indexed="81"/>
      <name val="Tahoma"/>
      <charset val="1"/>
    </font>
    <font>
      <b/>
      <sz val="11"/>
      <color rgb="FF3F3F76"/>
      <name val="Aptos Narrow"/>
      <family val="2"/>
      <scheme val="minor"/>
    </font>
    <font>
      <sz val="12"/>
      <color theme="1"/>
      <name val="Aptos"/>
      <family val="2"/>
    </font>
    <font>
      <sz val="12"/>
      <color theme="1"/>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style="thin">
        <color rgb="FF7F7F7F"/>
      </top>
      <bottom/>
      <diagonal/>
    </border>
  </borders>
  <cellStyleXfs count="5">
    <xf numFmtId="0" fontId="0" fillId="0" borderId="0"/>
    <xf numFmtId="0" fontId="1" fillId="0" borderId="1" applyNumberFormat="0" applyFill="0" applyAlignment="0" applyProtection="0"/>
    <xf numFmtId="0" fontId="2" fillId="0" borderId="2" applyNumberFormat="0" applyFill="0" applyAlignment="0" applyProtection="0"/>
    <xf numFmtId="0" fontId="3" fillId="2" borderId="3" applyNumberFormat="0" applyAlignment="0" applyProtection="0"/>
    <xf numFmtId="0" fontId="4" fillId="3" borderId="3" applyNumberFormat="0" applyAlignment="0" applyProtection="0"/>
  </cellStyleXfs>
  <cellXfs count="21">
    <xf numFmtId="0" fontId="0" fillId="0" borderId="0" xfId="0"/>
    <xf numFmtId="0" fontId="3" fillId="2" borderId="3" xfId="3"/>
    <xf numFmtId="0" fontId="0" fillId="0" borderId="0" xfId="0" applyAlignment="1">
      <alignment horizontal="center"/>
    </xf>
    <xf numFmtId="0" fontId="3" fillId="2" borderId="3" xfId="3" applyAlignment="1">
      <alignment horizontal="center"/>
    </xf>
    <xf numFmtId="9" fontId="3" fillId="2" borderId="3" xfId="3" applyNumberFormat="1" applyAlignment="1">
      <alignment horizontal="center"/>
    </xf>
    <xf numFmtId="0" fontId="3" fillId="2" borderId="3" xfId="3" applyAlignment="1">
      <alignment horizontal="left"/>
    </xf>
    <xf numFmtId="0" fontId="4" fillId="3" borderId="3" xfId="4"/>
    <xf numFmtId="9" fontId="4" fillId="3" borderId="3" xfId="4" applyNumberFormat="1"/>
    <xf numFmtId="0" fontId="3" fillId="2" borderId="3" xfId="3" applyAlignment="1">
      <alignment wrapText="1"/>
    </xf>
    <xf numFmtId="0" fontId="3" fillId="2" borderId="4" xfId="3" applyBorder="1" applyAlignment="1">
      <alignment wrapText="1"/>
    </xf>
    <xf numFmtId="0" fontId="1" fillId="0" borderId="1" xfId="1"/>
    <xf numFmtId="0" fontId="2" fillId="0" borderId="2" xfId="2"/>
    <xf numFmtId="0" fontId="3" fillId="2" borderId="3" xfId="3" applyAlignment="1">
      <alignment vertical="top" wrapText="1"/>
    </xf>
    <xf numFmtId="0" fontId="0" fillId="0" borderId="0" xfId="0" applyAlignment="1">
      <alignment vertical="top"/>
    </xf>
    <xf numFmtId="0" fontId="8" fillId="0" borderId="0" xfId="0" applyFont="1" applyAlignment="1">
      <alignment vertical="center"/>
    </xf>
    <xf numFmtId="0" fontId="8" fillId="0" borderId="0" xfId="0" applyFont="1"/>
    <xf numFmtId="0" fontId="9" fillId="0" borderId="0" xfId="0" applyFont="1"/>
    <xf numFmtId="0" fontId="3" fillId="2" borderId="3" xfId="3" applyAlignment="1">
      <alignment vertical="top"/>
    </xf>
    <xf numFmtId="0" fontId="5" fillId="0" borderId="0" xfId="0" applyFont="1"/>
    <xf numFmtId="0" fontId="5" fillId="0" borderId="0" xfId="0" applyFont="1" applyAlignment="1">
      <alignment horizontal="center"/>
    </xf>
    <xf numFmtId="0" fontId="3" fillId="2" borderId="3" xfId="3" applyAlignment="1">
      <alignment horizontal="center" vertical="top"/>
    </xf>
  </cellXfs>
  <cellStyles count="5">
    <cellStyle name="Calcul" xfId="4" builtinId="22"/>
    <cellStyle name="Entrée" xfId="3" builtinId="20"/>
    <cellStyle name="Normal" xfId="0" builtinId="0"/>
    <cellStyle name="Titre 2" xfId="1" builtinId="17"/>
    <cellStyle name="Titre 3" xfId="2" builtinId="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C8C-BB64-4187-92AA-6B5ED698724D}">
  <dimension ref="A1:O39"/>
  <sheetViews>
    <sheetView tabSelected="1" zoomScale="85" zoomScaleNormal="85" workbookViewId="0">
      <selection activeCell="A14" sqref="A14"/>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8" t="s">
        <v>7</v>
      </c>
      <c r="C1" s="18"/>
      <c r="D1" s="18"/>
      <c r="E1" s="18"/>
      <c r="F1" s="18"/>
      <c r="G1" s="18"/>
      <c r="H1" s="18"/>
      <c r="I1" s="18"/>
      <c r="K1" s="10" t="s">
        <v>3</v>
      </c>
    </row>
    <row r="2" spans="1:13" ht="15.75" thickTop="1" x14ac:dyDescent="0.25">
      <c r="K2" t="s">
        <v>14</v>
      </c>
      <c r="L2" s="6" t="e">
        <f>AVERAGEIFS(H:H,G:G, "X", B:B, "Récit")</f>
        <v>#DIV/0!</v>
      </c>
    </row>
    <row r="3" spans="1:13" x14ac:dyDescent="0.25">
      <c r="A3" s="2" t="s">
        <v>0</v>
      </c>
      <c r="B3" s="2" t="s">
        <v>23</v>
      </c>
      <c r="C3" s="2" t="s">
        <v>41</v>
      </c>
      <c r="D3" s="2" t="s">
        <v>42</v>
      </c>
      <c r="E3" s="2" t="s">
        <v>43</v>
      </c>
      <c r="F3" s="2" t="s">
        <v>43</v>
      </c>
      <c r="G3" s="2" t="s">
        <v>1</v>
      </c>
      <c r="H3" s="2" t="s">
        <v>5</v>
      </c>
      <c r="I3" s="2" t="s">
        <v>6</v>
      </c>
      <c r="K3" t="s">
        <v>15</v>
      </c>
      <c r="L3" s="6" t="e">
        <f>AVERAGEIFS(H:H,G:G, "X", B:B, "Tâche")</f>
        <v>#DIV/0!</v>
      </c>
    </row>
    <row r="4" spans="1:13" ht="15.75" x14ac:dyDescent="0.25">
      <c r="A4" s="14" t="s">
        <v>44</v>
      </c>
      <c r="B4" s="3" t="s">
        <v>8</v>
      </c>
      <c r="C4" s="4"/>
      <c r="D4" s="4"/>
      <c r="E4" s="4"/>
      <c r="F4" s="4"/>
      <c r="G4" s="3"/>
      <c r="H4" s="5"/>
      <c r="I4" s="5"/>
      <c r="K4" t="s">
        <v>20</v>
      </c>
      <c r="L4" s="6">
        <f>COUNTIFS(G:G, "X", B:B, "Récit")</f>
        <v>0</v>
      </c>
    </row>
    <row r="5" spans="1:13" ht="15.75" x14ac:dyDescent="0.25">
      <c r="A5" s="15" t="s">
        <v>45</v>
      </c>
      <c r="B5" s="3" t="s">
        <v>11</v>
      </c>
      <c r="C5" s="4"/>
      <c r="D5" s="4"/>
      <c r="E5" s="4"/>
      <c r="F5" s="4"/>
      <c r="G5" s="3"/>
      <c r="H5" s="1">
        <v>4</v>
      </c>
      <c r="I5" s="1"/>
      <c r="K5" t="s">
        <v>21</v>
      </c>
      <c r="L5" s="6">
        <f>COUNTIFS(G:G, "X", B:B, "Tâche")</f>
        <v>0</v>
      </c>
    </row>
    <row r="6" spans="1:13" ht="15.75" x14ac:dyDescent="0.25">
      <c r="A6" s="15" t="s">
        <v>46</v>
      </c>
      <c r="B6" s="3" t="s">
        <v>11</v>
      </c>
      <c r="C6" s="4">
        <v>0.1</v>
      </c>
      <c r="D6" s="4"/>
      <c r="E6" s="4"/>
      <c r="F6" s="4"/>
      <c r="G6" s="3"/>
      <c r="H6" s="1">
        <v>1</v>
      </c>
      <c r="I6" s="1"/>
    </row>
    <row r="7" spans="1:13" ht="16.5" thickBot="1" x14ac:dyDescent="0.3">
      <c r="A7" s="16" t="s">
        <v>49</v>
      </c>
      <c r="B7" s="3" t="s">
        <v>8</v>
      </c>
      <c r="C7" s="4"/>
      <c r="D7" s="4"/>
      <c r="E7" s="4"/>
      <c r="F7" s="4"/>
      <c r="G7" s="3"/>
      <c r="H7" s="1">
        <v>2</v>
      </c>
      <c r="I7" s="1"/>
      <c r="K7" s="11" t="s">
        <v>24</v>
      </c>
    </row>
    <row r="8" spans="1:13" ht="15.75" x14ac:dyDescent="0.25">
      <c r="A8" s="16" t="s">
        <v>47</v>
      </c>
      <c r="B8" s="3" t="s">
        <v>11</v>
      </c>
      <c r="C8" s="4"/>
      <c r="D8" s="4">
        <v>1</v>
      </c>
      <c r="E8" s="4"/>
      <c r="F8" s="4"/>
      <c r="G8" s="3"/>
      <c r="H8" s="1">
        <v>1</v>
      </c>
      <c r="I8" s="1"/>
      <c r="K8" t="s">
        <v>17</v>
      </c>
      <c r="L8" s="6">
        <f>COUNTIF(B:B,"Récit")</f>
        <v>3</v>
      </c>
    </row>
    <row r="9" spans="1:13" ht="15.75" x14ac:dyDescent="0.25">
      <c r="A9" s="16" t="s">
        <v>48</v>
      </c>
      <c r="B9" s="3" t="s">
        <v>11</v>
      </c>
      <c r="C9" s="4"/>
      <c r="D9" s="4">
        <v>0.25</v>
      </c>
      <c r="E9" s="4"/>
      <c r="F9" s="4"/>
      <c r="G9" s="3"/>
      <c r="H9" s="1">
        <v>3</v>
      </c>
      <c r="I9" s="1"/>
      <c r="K9" t="s">
        <v>18</v>
      </c>
      <c r="L9" s="6">
        <f>COUNTIF(B:B, "Tâche")</f>
        <v>8</v>
      </c>
    </row>
    <row r="10" spans="1:13" ht="15.75" x14ac:dyDescent="0.25">
      <c r="A10" s="16" t="s">
        <v>50</v>
      </c>
      <c r="B10" s="3" t="s">
        <v>11</v>
      </c>
      <c r="C10" s="4"/>
      <c r="D10" s="4">
        <v>1</v>
      </c>
      <c r="E10" s="4"/>
      <c r="F10" s="4"/>
      <c r="G10" s="3"/>
      <c r="H10" s="1"/>
      <c r="I10" s="1">
        <v>5</v>
      </c>
    </row>
    <row r="11" spans="1:13" ht="15.75" x14ac:dyDescent="0.25">
      <c r="A11" s="16" t="s">
        <v>54</v>
      </c>
      <c r="B11" s="3" t="s">
        <v>11</v>
      </c>
      <c r="C11" s="4">
        <v>0.45</v>
      </c>
      <c r="D11" s="4"/>
      <c r="E11" s="4"/>
      <c r="F11" s="4"/>
      <c r="G11" s="3"/>
      <c r="H11" s="1"/>
      <c r="I11" s="1">
        <v>4</v>
      </c>
      <c r="K11" t="s">
        <v>16</v>
      </c>
      <c r="L11" s="7">
        <f>L4/L8</f>
        <v>0</v>
      </c>
    </row>
    <row r="12" spans="1:13" ht="15.75" x14ac:dyDescent="0.25">
      <c r="A12" s="16" t="s">
        <v>51</v>
      </c>
      <c r="B12" s="3" t="s">
        <v>8</v>
      </c>
      <c r="C12" s="4"/>
      <c r="D12" s="4"/>
      <c r="E12" s="4"/>
      <c r="F12" s="4"/>
      <c r="G12" s="3"/>
      <c r="H12" s="1">
        <v>2</v>
      </c>
      <c r="I12" s="1"/>
      <c r="K12" t="s">
        <v>19</v>
      </c>
      <c r="L12" s="7">
        <f>L5/L9</f>
        <v>0</v>
      </c>
    </row>
    <row r="13" spans="1:13" ht="15.75" x14ac:dyDescent="0.25">
      <c r="A13" s="16" t="s">
        <v>52</v>
      </c>
      <c r="B13" s="3" t="s">
        <v>11</v>
      </c>
      <c r="C13" s="4">
        <v>0.5</v>
      </c>
      <c r="D13" s="4"/>
      <c r="E13" s="4"/>
      <c r="F13" s="4"/>
      <c r="G13" s="3"/>
      <c r="H13" s="1">
        <v>2</v>
      </c>
      <c r="I13" s="1"/>
    </row>
    <row r="14" spans="1:13" ht="16.5" thickBot="1" x14ac:dyDescent="0.3">
      <c r="A14" s="16" t="s">
        <v>53</v>
      </c>
      <c r="B14" s="3" t="s">
        <v>11</v>
      </c>
      <c r="C14" s="4">
        <v>1</v>
      </c>
      <c r="D14" s="4"/>
      <c r="E14" s="4"/>
      <c r="F14" s="4"/>
      <c r="G14" s="3"/>
      <c r="H14" s="1">
        <v>3</v>
      </c>
      <c r="I14" s="1"/>
      <c r="K14" s="11" t="s">
        <v>22</v>
      </c>
    </row>
    <row r="15" spans="1:13" ht="15.75" x14ac:dyDescent="0.25">
      <c r="A15" s="16"/>
      <c r="B15" s="3"/>
      <c r="C15" s="4"/>
      <c r="D15" s="4"/>
      <c r="E15" s="4"/>
      <c r="F15" s="4"/>
      <c r="G15" s="3"/>
      <c r="H15" s="1"/>
      <c r="I15" s="1"/>
      <c r="K15" t="s">
        <v>9</v>
      </c>
      <c r="L15" s="6">
        <f>SUMIFS(C:C,G:G,"X")</f>
        <v>0</v>
      </c>
      <c r="M15" s="7" t="e">
        <f>L15/SUM($L$15:$L$18)</f>
        <v>#DIV/0!</v>
      </c>
    </row>
    <row r="16" spans="1:13" ht="15.75" x14ac:dyDescent="0.25">
      <c r="A16" s="16" t="s">
        <v>55</v>
      </c>
      <c r="B16" s="3"/>
      <c r="C16" s="4"/>
      <c r="D16" s="4"/>
      <c r="E16" s="4"/>
      <c r="F16" s="4"/>
      <c r="G16" s="3"/>
      <c r="H16" s="1"/>
      <c r="I16" s="1"/>
      <c r="K16" t="s">
        <v>12</v>
      </c>
      <c r="L16" s="6">
        <f>SUMIFS(D:D,G:G,"X")</f>
        <v>0</v>
      </c>
      <c r="M16" s="7" t="e">
        <f>L16/SUM($L$15:$L$18)</f>
        <v>#DIV/0!</v>
      </c>
    </row>
    <row r="17" spans="1:15" ht="15.75" x14ac:dyDescent="0.25">
      <c r="A17" s="16"/>
      <c r="B17" s="3"/>
      <c r="C17" s="4"/>
      <c r="D17" s="4"/>
      <c r="E17" s="4"/>
      <c r="F17" s="4"/>
      <c r="G17" s="3"/>
      <c r="H17" s="1"/>
      <c r="I17" s="1"/>
      <c r="K17" t="s">
        <v>10</v>
      </c>
      <c r="L17" s="6">
        <f>SUMIFS(E:E,G:G,"X")</f>
        <v>0</v>
      </c>
      <c r="M17" s="7" t="e">
        <f>L17/SUM($L$15:$L$18)</f>
        <v>#DIV/0!</v>
      </c>
    </row>
    <row r="18" spans="1:15" x14ac:dyDescent="0.25">
      <c r="K18" t="s">
        <v>13</v>
      </c>
      <c r="L18" s="6">
        <f>SUMIFS(F:F,G:G,"X")</f>
        <v>0</v>
      </c>
      <c r="M18" s="7" t="e">
        <f>L18/SUM($L$15:$L$18)</f>
        <v>#DIV/0!</v>
      </c>
    </row>
    <row r="20" spans="1:15" ht="18" thickBot="1" x14ac:dyDescent="0.35">
      <c r="K20" s="10" t="s">
        <v>25</v>
      </c>
    </row>
    <row r="21" spans="1:15" ht="15.75" thickTop="1" x14ac:dyDescent="0.25">
      <c r="L21" s="19" t="s">
        <v>4</v>
      </c>
      <c r="M21" s="19"/>
      <c r="N21" s="19"/>
      <c r="O21" s="19"/>
    </row>
    <row r="22" spans="1:15" ht="15.75" thickBot="1" x14ac:dyDescent="0.3">
      <c r="K22" s="11" t="s">
        <v>26</v>
      </c>
      <c r="L22">
        <v>1</v>
      </c>
      <c r="M22">
        <v>2</v>
      </c>
      <c r="N22">
        <v>3</v>
      </c>
      <c r="O22">
        <v>4</v>
      </c>
    </row>
    <row r="23" spans="1:15" ht="127.15" customHeight="1" x14ac:dyDescent="0.25">
      <c r="K23" s="13" t="s">
        <v>36</v>
      </c>
      <c r="L23" s="12" t="s">
        <v>40</v>
      </c>
      <c r="M23" s="8"/>
      <c r="N23" s="8"/>
      <c r="O23" s="8"/>
    </row>
    <row r="24" spans="1:15" ht="123.6" customHeight="1" x14ac:dyDescent="0.25">
      <c r="K24" s="13" t="s">
        <v>37</v>
      </c>
      <c r="L24" s="12" t="s">
        <v>27</v>
      </c>
      <c r="M24" s="8"/>
      <c r="N24" s="8"/>
      <c r="O24" s="8"/>
    </row>
    <row r="25" spans="1:15" ht="117.6" customHeight="1" x14ac:dyDescent="0.25">
      <c r="K25" s="13" t="s">
        <v>38</v>
      </c>
      <c r="L25" s="8"/>
      <c r="M25" s="8"/>
      <c r="N25" s="8"/>
      <c r="O25" s="8"/>
    </row>
    <row r="26" spans="1:15" ht="101.45" customHeight="1" x14ac:dyDescent="0.25">
      <c r="K26" s="13" t="s">
        <v>39</v>
      </c>
      <c r="L26" s="9"/>
      <c r="M26" s="9"/>
      <c r="N26" s="9"/>
      <c r="O26" s="9"/>
    </row>
    <row r="30" spans="1:15" ht="15.75" thickBot="1" x14ac:dyDescent="0.3">
      <c r="K30" s="11" t="s">
        <v>28</v>
      </c>
    </row>
    <row r="31" spans="1:15" ht="44.45" customHeight="1" x14ac:dyDescent="0.25">
      <c r="K31" s="13" t="s">
        <v>29</v>
      </c>
      <c r="L31" s="20"/>
      <c r="M31" s="20"/>
      <c r="N31" s="20"/>
      <c r="O31" s="20"/>
    </row>
    <row r="32" spans="1:15" ht="45" customHeight="1" x14ac:dyDescent="0.25">
      <c r="K32" s="13" t="s">
        <v>30</v>
      </c>
      <c r="L32" s="17"/>
      <c r="M32" s="17"/>
      <c r="N32" s="17"/>
      <c r="O32" s="17"/>
    </row>
    <row r="34" spans="11:15" ht="15.75" thickBot="1" x14ac:dyDescent="0.3">
      <c r="K34" s="11" t="s">
        <v>31</v>
      </c>
    </row>
    <row r="35" spans="11:15" ht="31.15" customHeight="1" x14ac:dyDescent="0.25">
      <c r="K35" s="13" t="s">
        <v>32</v>
      </c>
      <c r="L35" s="17"/>
      <c r="M35" s="17"/>
      <c r="N35" s="17"/>
      <c r="O35" s="17"/>
    </row>
    <row r="36" spans="11:15" ht="30.6" customHeight="1" x14ac:dyDescent="0.25">
      <c r="K36" s="13" t="s">
        <v>33</v>
      </c>
      <c r="L36" s="17"/>
      <c r="M36" s="17"/>
      <c r="N36" s="17"/>
      <c r="O36" s="17"/>
    </row>
    <row r="37" spans="11:15" ht="31.15" customHeight="1" x14ac:dyDescent="0.25">
      <c r="K37" s="13" t="s">
        <v>34</v>
      </c>
      <c r="L37" s="17"/>
      <c r="M37" s="17"/>
      <c r="N37" s="17"/>
      <c r="O37" s="17"/>
    </row>
    <row r="38" spans="11:15" x14ac:dyDescent="0.25">
      <c r="K38" s="13"/>
      <c r="L38" s="13"/>
      <c r="M38" s="13"/>
      <c r="N38" s="13"/>
      <c r="O38" s="13"/>
    </row>
    <row r="39" spans="11:15" ht="31.15" customHeight="1" x14ac:dyDescent="0.25">
      <c r="K39" s="13" t="s">
        <v>35</v>
      </c>
      <c r="L39" s="17"/>
      <c r="M39" s="17"/>
      <c r="N39" s="17"/>
      <c r="O39" s="17"/>
    </row>
  </sheetData>
  <mergeCells count="8">
    <mergeCell ref="L35:O35"/>
    <mergeCell ref="L36:O36"/>
    <mergeCell ref="L37:O37"/>
    <mergeCell ref="L39:O39"/>
    <mergeCell ref="B1:I1"/>
    <mergeCell ref="L21:O21"/>
    <mergeCell ref="L31:O31"/>
    <mergeCell ref="L32:O32"/>
  </mergeCells>
  <pageMargins left="0.7" right="0.7" top="0.75" bottom="0.75" header="0.3" footer="0.3"/>
  <pageSetup orientation="portrait" horizontalDpi="4294967295" verticalDpi="4294967295"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DB0FC-E645-4BFB-AF77-2211428F11BA}">
  <dimension ref="A1:O39"/>
  <sheetViews>
    <sheetView zoomScale="85" zoomScaleNormal="85" workbookViewId="0">
      <selection activeCell="A14" sqref="A14"/>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8" t="s">
        <v>7</v>
      </c>
      <c r="C1" s="18"/>
      <c r="D1" s="18"/>
      <c r="E1" s="18"/>
      <c r="F1" s="18"/>
      <c r="G1" s="18"/>
      <c r="H1" s="18"/>
      <c r="I1" s="18"/>
      <c r="K1" s="10" t="s">
        <v>3</v>
      </c>
    </row>
    <row r="2" spans="1:13" ht="15.75" thickTop="1" x14ac:dyDescent="0.25">
      <c r="K2" t="s">
        <v>14</v>
      </c>
      <c r="L2" s="6" t="e">
        <f>AVERAGEIFS(H:H,G:G, "X", B:B, "Récit")</f>
        <v>#DIV/0!</v>
      </c>
    </row>
    <row r="3" spans="1:13" x14ac:dyDescent="0.25">
      <c r="A3" s="2" t="s">
        <v>0</v>
      </c>
      <c r="B3" s="2" t="s">
        <v>23</v>
      </c>
      <c r="C3" s="2" t="s">
        <v>41</v>
      </c>
      <c r="D3" s="2" t="s">
        <v>42</v>
      </c>
      <c r="E3" s="2" t="s">
        <v>43</v>
      </c>
      <c r="F3" s="2" t="s">
        <v>43</v>
      </c>
      <c r="G3" s="2" t="s">
        <v>1</v>
      </c>
      <c r="H3" s="2" t="s">
        <v>5</v>
      </c>
      <c r="I3" s="2" t="s">
        <v>6</v>
      </c>
      <c r="K3" t="s">
        <v>15</v>
      </c>
      <c r="L3" s="6" t="e">
        <f>AVERAGEIFS(H:H,G:G, "X", B:B, "Tâche")</f>
        <v>#DIV/0!</v>
      </c>
    </row>
    <row r="4" spans="1:13" ht="15.75" x14ac:dyDescent="0.25">
      <c r="A4" s="14" t="s">
        <v>44</v>
      </c>
      <c r="B4" s="3" t="s">
        <v>8</v>
      </c>
      <c r="C4" s="4"/>
      <c r="D4" s="4"/>
      <c r="E4" s="4"/>
      <c r="F4" s="4"/>
      <c r="G4" s="3"/>
      <c r="H4" s="5"/>
      <c r="I4" s="5"/>
      <c r="K4" t="s">
        <v>20</v>
      </c>
      <c r="L4" s="6">
        <f>COUNTIFS(G:G, "X", B:B, "Récit")</f>
        <v>0</v>
      </c>
    </row>
    <row r="5" spans="1:13" ht="15.75" x14ac:dyDescent="0.25">
      <c r="A5" s="15" t="s">
        <v>45</v>
      </c>
      <c r="B5" s="3" t="s">
        <v>11</v>
      </c>
      <c r="C5" s="4"/>
      <c r="D5" s="4"/>
      <c r="E5" s="4"/>
      <c r="F5" s="4"/>
      <c r="G5" s="3"/>
      <c r="H5" s="1">
        <v>4</v>
      </c>
      <c r="I5" s="1"/>
      <c r="K5" t="s">
        <v>21</v>
      </c>
      <c r="L5" s="6">
        <f>COUNTIFS(G:G, "X", B:B, "Tâche")</f>
        <v>0</v>
      </c>
    </row>
    <row r="6" spans="1:13" ht="15.75" x14ac:dyDescent="0.25">
      <c r="A6" s="15" t="s">
        <v>46</v>
      </c>
      <c r="B6" s="3" t="s">
        <v>11</v>
      </c>
      <c r="C6" s="4">
        <v>0.1</v>
      </c>
      <c r="D6" s="4"/>
      <c r="E6" s="4"/>
      <c r="F6" s="4"/>
      <c r="G6" s="3"/>
      <c r="H6" s="1">
        <v>1</v>
      </c>
      <c r="I6" s="1"/>
    </row>
    <row r="7" spans="1:13" ht="16.5" thickBot="1" x14ac:dyDescent="0.3">
      <c r="A7" s="16" t="s">
        <v>49</v>
      </c>
      <c r="B7" s="3" t="s">
        <v>8</v>
      </c>
      <c r="C7" s="4"/>
      <c r="D7" s="4"/>
      <c r="E7" s="4"/>
      <c r="F7" s="4"/>
      <c r="G7" s="3"/>
      <c r="H7" s="1">
        <v>2</v>
      </c>
      <c r="I7" s="1"/>
      <c r="K7" s="11" t="s">
        <v>24</v>
      </c>
    </row>
    <row r="8" spans="1:13" ht="15.75" x14ac:dyDescent="0.25">
      <c r="A8" s="16" t="s">
        <v>47</v>
      </c>
      <c r="B8" s="3" t="s">
        <v>11</v>
      </c>
      <c r="C8" s="4"/>
      <c r="D8" s="4">
        <v>1</v>
      </c>
      <c r="E8" s="4"/>
      <c r="F8" s="4"/>
      <c r="G8" s="3"/>
      <c r="H8" s="1">
        <v>1</v>
      </c>
      <c r="I8" s="1"/>
      <c r="K8" t="s">
        <v>17</v>
      </c>
      <c r="L8" s="6">
        <f>COUNTIF(B:B,"Récit")</f>
        <v>3</v>
      </c>
    </row>
    <row r="9" spans="1:13" ht="15.75" x14ac:dyDescent="0.25">
      <c r="A9" s="16" t="s">
        <v>48</v>
      </c>
      <c r="B9" s="3" t="s">
        <v>11</v>
      </c>
      <c r="C9" s="4"/>
      <c r="D9" s="4">
        <v>0.25</v>
      </c>
      <c r="E9" s="4"/>
      <c r="F9" s="4"/>
      <c r="G9" s="3"/>
      <c r="H9" s="1">
        <v>3</v>
      </c>
      <c r="I9" s="1"/>
      <c r="K9" t="s">
        <v>18</v>
      </c>
      <c r="L9" s="6">
        <f>COUNTIF(B:B, "Tâche")</f>
        <v>8</v>
      </c>
    </row>
    <row r="10" spans="1:13" ht="15.75" x14ac:dyDescent="0.25">
      <c r="A10" s="16" t="s">
        <v>50</v>
      </c>
      <c r="B10" s="3" t="s">
        <v>11</v>
      </c>
      <c r="C10" s="4"/>
      <c r="D10" s="4">
        <v>1</v>
      </c>
      <c r="E10" s="4"/>
      <c r="F10" s="4"/>
      <c r="G10" s="3"/>
      <c r="H10" s="1"/>
      <c r="I10" s="1">
        <v>5</v>
      </c>
    </row>
    <row r="11" spans="1:13" ht="15.75" x14ac:dyDescent="0.25">
      <c r="A11" s="16" t="s">
        <v>54</v>
      </c>
      <c r="B11" s="3" t="s">
        <v>11</v>
      </c>
      <c r="C11" s="4">
        <v>0.45</v>
      </c>
      <c r="D11" s="4"/>
      <c r="E11" s="4"/>
      <c r="F11" s="4"/>
      <c r="G11" s="3"/>
      <c r="H11" s="1"/>
      <c r="I11" s="1">
        <v>4</v>
      </c>
      <c r="K11" t="s">
        <v>16</v>
      </c>
      <c r="L11" s="7">
        <f>L4/L8</f>
        <v>0</v>
      </c>
    </row>
    <row r="12" spans="1:13" ht="15.75" x14ac:dyDescent="0.25">
      <c r="A12" s="16" t="s">
        <v>51</v>
      </c>
      <c r="B12" s="3" t="s">
        <v>8</v>
      </c>
      <c r="C12" s="4"/>
      <c r="D12" s="4"/>
      <c r="E12" s="4"/>
      <c r="F12" s="4"/>
      <c r="G12" s="3"/>
      <c r="H12" s="1">
        <v>2</v>
      </c>
      <c r="I12" s="1"/>
      <c r="K12" t="s">
        <v>19</v>
      </c>
      <c r="L12" s="7">
        <f>L5/L9</f>
        <v>0</v>
      </c>
    </row>
    <row r="13" spans="1:13" ht="15.75" x14ac:dyDescent="0.25">
      <c r="A13" s="16" t="s">
        <v>52</v>
      </c>
      <c r="B13" s="3" t="s">
        <v>11</v>
      </c>
      <c r="C13" s="4">
        <v>0.5</v>
      </c>
      <c r="D13" s="4"/>
      <c r="E13" s="4"/>
      <c r="F13" s="4"/>
      <c r="G13" s="3"/>
      <c r="H13" s="1">
        <v>2</v>
      </c>
      <c r="I13" s="1"/>
    </row>
    <row r="14" spans="1:13" ht="16.5" thickBot="1" x14ac:dyDescent="0.3">
      <c r="A14" s="16" t="s">
        <v>53</v>
      </c>
      <c r="B14" s="3" t="s">
        <v>11</v>
      </c>
      <c r="C14" s="4">
        <v>1</v>
      </c>
      <c r="D14" s="4"/>
      <c r="E14" s="4"/>
      <c r="F14" s="4"/>
      <c r="G14" s="3"/>
      <c r="H14" s="1">
        <v>3</v>
      </c>
      <c r="I14" s="1"/>
      <c r="K14" s="11" t="s">
        <v>22</v>
      </c>
    </row>
    <row r="15" spans="1:13" ht="15.75" x14ac:dyDescent="0.25">
      <c r="A15" s="16"/>
      <c r="B15" s="3"/>
      <c r="C15" s="4"/>
      <c r="D15" s="4"/>
      <c r="E15" s="4"/>
      <c r="F15" s="4"/>
      <c r="G15" s="3"/>
      <c r="H15" s="1"/>
      <c r="I15" s="1"/>
      <c r="K15" t="s">
        <v>9</v>
      </c>
      <c r="L15" s="6">
        <f>SUMIFS(C:C,G:G,"X")</f>
        <v>0</v>
      </c>
      <c r="M15" s="7" t="e">
        <f>L15/SUM($L$15:$L$18)</f>
        <v>#DIV/0!</v>
      </c>
    </row>
    <row r="16" spans="1:13" ht="15.75" x14ac:dyDescent="0.25">
      <c r="A16" s="16" t="s">
        <v>55</v>
      </c>
      <c r="B16" s="3"/>
      <c r="C16" s="4"/>
      <c r="D16" s="4"/>
      <c r="E16" s="4"/>
      <c r="F16" s="4"/>
      <c r="G16" s="3"/>
      <c r="H16" s="1"/>
      <c r="I16" s="1"/>
      <c r="K16" t="s">
        <v>12</v>
      </c>
      <c r="L16" s="6">
        <f>SUMIFS(D:D,G:G,"X")</f>
        <v>0</v>
      </c>
      <c r="M16" s="7" t="e">
        <f>L16/SUM($L$15:$L$18)</f>
        <v>#DIV/0!</v>
      </c>
    </row>
    <row r="17" spans="1:15" ht="15.75" x14ac:dyDescent="0.25">
      <c r="A17" s="16"/>
      <c r="B17" s="3"/>
      <c r="C17" s="4"/>
      <c r="D17" s="4"/>
      <c r="E17" s="4"/>
      <c r="F17" s="4"/>
      <c r="G17" s="3"/>
      <c r="H17" s="1"/>
      <c r="I17" s="1"/>
      <c r="K17" t="s">
        <v>10</v>
      </c>
      <c r="L17" s="6">
        <f>SUMIFS(E:E,G:G,"X")</f>
        <v>0</v>
      </c>
      <c r="M17" s="7" t="e">
        <f>L17/SUM($L$15:$L$18)</f>
        <v>#DIV/0!</v>
      </c>
    </row>
    <row r="18" spans="1:15" x14ac:dyDescent="0.25">
      <c r="K18" t="s">
        <v>13</v>
      </c>
      <c r="L18" s="6">
        <f>SUMIFS(F:F,G:G,"X")</f>
        <v>0</v>
      </c>
      <c r="M18" s="7" t="e">
        <f>L18/SUM($L$15:$L$18)</f>
        <v>#DIV/0!</v>
      </c>
    </row>
    <row r="20" spans="1:15" ht="18" thickBot="1" x14ac:dyDescent="0.35">
      <c r="K20" s="10" t="s">
        <v>25</v>
      </c>
    </row>
    <row r="21" spans="1:15" ht="15.75" thickTop="1" x14ac:dyDescent="0.25">
      <c r="L21" s="19" t="s">
        <v>4</v>
      </c>
      <c r="M21" s="19"/>
      <c r="N21" s="19"/>
      <c r="O21" s="19"/>
    </row>
    <row r="22" spans="1:15" ht="15.75" thickBot="1" x14ac:dyDescent="0.3">
      <c r="K22" s="11" t="s">
        <v>26</v>
      </c>
      <c r="L22">
        <v>1</v>
      </c>
      <c r="M22">
        <v>2</v>
      </c>
      <c r="N22">
        <v>3</v>
      </c>
      <c r="O22">
        <v>4</v>
      </c>
    </row>
    <row r="23" spans="1:15" ht="127.15" customHeight="1" x14ac:dyDescent="0.25">
      <c r="K23" s="13" t="s">
        <v>36</v>
      </c>
      <c r="L23" s="12" t="s">
        <v>40</v>
      </c>
      <c r="M23" s="8"/>
      <c r="N23" s="8"/>
      <c r="O23" s="8"/>
    </row>
    <row r="24" spans="1:15" ht="123.6" customHeight="1" x14ac:dyDescent="0.25">
      <c r="K24" s="13" t="s">
        <v>37</v>
      </c>
      <c r="L24" s="12" t="s">
        <v>27</v>
      </c>
      <c r="M24" s="8"/>
      <c r="N24" s="8"/>
      <c r="O24" s="8"/>
    </row>
    <row r="25" spans="1:15" ht="117.6" customHeight="1" x14ac:dyDescent="0.25">
      <c r="K25" s="13" t="s">
        <v>38</v>
      </c>
      <c r="L25" s="8"/>
      <c r="M25" s="8"/>
      <c r="N25" s="8"/>
      <c r="O25" s="8"/>
    </row>
    <row r="26" spans="1:15" ht="101.45" customHeight="1" x14ac:dyDescent="0.25">
      <c r="K26" s="13" t="s">
        <v>39</v>
      </c>
      <c r="L26" s="9"/>
      <c r="M26" s="9"/>
      <c r="N26" s="9"/>
      <c r="O26" s="9"/>
    </row>
    <row r="30" spans="1:15" ht="15.75" thickBot="1" x14ac:dyDescent="0.3">
      <c r="K30" s="11" t="s">
        <v>28</v>
      </c>
    </row>
    <row r="31" spans="1:15" ht="44.45" customHeight="1" x14ac:dyDescent="0.25">
      <c r="K31" s="13" t="s">
        <v>29</v>
      </c>
      <c r="L31" s="20"/>
      <c r="M31" s="20"/>
      <c r="N31" s="20"/>
      <c r="O31" s="20"/>
    </row>
    <row r="32" spans="1:15" ht="45" customHeight="1" x14ac:dyDescent="0.25">
      <c r="K32" s="13" t="s">
        <v>30</v>
      </c>
      <c r="L32" s="17"/>
      <c r="M32" s="17"/>
      <c r="N32" s="17"/>
      <c r="O32" s="17"/>
    </row>
    <row r="34" spans="11:15" ht="15.75" thickBot="1" x14ac:dyDescent="0.3">
      <c r="K34" s="11" t="s">
        <v>31</v>
      </c>
    </row>
    <row r="35" spans="11:15" ht="31.15" customHeight="1" x14ac:dyDescent="0.25">
      <c r="K35" s="13" t="s">
        <v>32</v>
      </c>
      <c r="L35" s="17"/>
      <c r="M35" s="17"/>
      <c r="N35" s="17"/>
      <c r="O35" s="17"/>
    </row>
    <row r="36" spans="11:15" ht="30.6" customHeight="1" x14ac:dyDescent="0.25">
      <c r="K36" s="13" t="s">
        <v>33</v>
      </c>
      <c r="L36" s="17"/>
      <c r="M36" s="17"/>
      <c r="N36" s="17"/>
      <c r="O36" s="17"/>
    </row>
    <row r="37" spans="11:15" ht="31.15" customHeight="1" x14ac:dyDescent="0.25">
      <c r="K37" s="13" t="s">
        <v>34</v>
      </c>
      <c r="L37" s="17"/>
      <c r="M37" s="17"/>
      <c r="N37" s="17"/>
      <c r="O37" s="17"/>
    </row>
    <row r="38" spans="11:15" x14ac:dyDescent="0.25">
      <c r="K38" s="13"/>
      <c r="L38" s="13"/>
      <c r="M38" s="13"/>
      <c r="N38" s="13"/>
      <c r="O38" s="13"/>
    </row>
    <row r="39" spans="11:15" ht="31.15" customHeight="1" x14ac:dyDescent="0.25">
      <c r="K39" s="13" t="s">
        <v>35</v>
      </c>
      <c r="L39" s="17"/>
      <c r="M39" s="17"/>
      <c r="N39" s="17"/>
      <c r="O39" s="17"/>
    </row>
  </sheetData>
  <mergeCells count="8">
    <mergeCell ref="L37:O37"/>
    <mergeCell ref="L39:O39"/>
    <mergeCell ref="B1:I1"/>
    <mergeCell ref="L21:O21"/>
    <mergeCell ref="L31:O31"/>
    <mergeCell ref="L32:O32"/>
    <mergeCell ref="L35:O35"/>
    <mergeCell ref="L36:O36"/>
  </mergeCells>
  <pageMargins left="0.7" right="0.7" top="0.75" bottom="0.75" header="0.3" footer="0.3"/>
  <pageSetup orientation="portrait" horizontalDpi="4294967295" verticalDpi="4294967295"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Exemple</vt:lpstr>
      <vt:lpstr>Exemple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Stéphane Lévesque</dc:creator>
  <cp:lastModifiedBy>Pernichev, Boris</cp:lastModifiedBy>
  <dcterms:created xsi:type="dcterms:W3CDTF">2024-08-18T18:39:34Z</dcterms:created>
  <dcterms:modified xsi:type="dcterms:W3CDTF">2025-10-01T13:33:26Z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615819-ba40-4aaf-a034-39fd1d37cddf_Enabled">
    <vt:lpwstr>true</vt:lpwstr>
  </property>
  <property fmtid="{D5CDD505-2E9C-101B-9397-08002B2CF9AE}" pid="3" name="MSIP_Label_6b615819-ba40-4aaf-a034-39fd1d37cddf_SetDate">
    <vt:lpwstr>2024-08-29T15:48:39Z</vt:lpwstr>
  </property>
  <property fmtid="{D5CDD505-2E9C-101B-9397-08002B2CF9AE}" pid="4" name="MSIP_Label_6b615819-ba40-4aaf-a034-39fd1d37cddf_Method">
    <vt:lpwstr>Standard</vt:lpwstr>
  </property>
  <property fmtid="{D5CDD505-2E9C-101B-9397-08002B2CF9AE}" pid="5" name="MSIP_Label_6b615819-ba40-4aaf-a034-39fd1d37cddf_Name">
    <vt:lpwstr>defa4170-0d19-0005-0004-bc88714345d2</vt:lpwstr>
  </property>
  <property fmtid="{D5CDD505-2E9C-101B-9397-08002B2CF9AE}" pid="6" name="MSIP_Label_6b615819-ba40-4aaf-a034-39fd1d37cddf_SiteId">
    <vt:lpwstr>f9182dd7-4234-41fb-9e9c-dd20d493b548</vt:lpwstr>
  </property>
  <property fmtid="{D5CDD505-2E9C-101B-9397-08002B2CF9AE}" pid="7" name="MSIP_Label_6b615819-ba40-4aaf-a034-39fd1d37cddf_ActionId">
    <vt:lpwstr>68bc2f7e-66e1-4e38-98cf-43cd4917e3a6</vt:lpwstr>
  </property>
  <property fmtid="{D5CDD505-2E9C-101B-9397-08002B2CF9AE}" pid="8" name="MSIP_Label_6b615819-ba40-4aaf-a034-39fd1d37cddf_ContentBits">
    <vt:lpwstr>0</vt:lpwstr>
  </property>
</Properties>
</file>